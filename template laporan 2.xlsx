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m365-my.sharepoint.com/personal/bagus_sri_w_365_ugm_ac_id/Documents/"/>
    </mc:Choice>
  </mc:AlternateContent>
  <xr:revisionPtr revIDLastSave="21" documentId="8_{24DFE648-94EC-4B9E-B3A4-F393A8469630}" xr6:coauthVersionLast="47" xr6:coauthVersionMax="47" xr10:uidLastSave="{DD937213-E961-4C03-84EB-3130FC7AFE2B}"/>
  <bookViews>
    <workbookView xWindow="-110" yWindow="-110" windowWidth="19420" windowHeight="10300" firstSheet="1" activeTab="3" xr2:uid="{8F587F53-921E-4723-825E-6D4C83EA6EE8}"/>
  </bookViews>
  <sheets>
    <sheet name="1. Pengesahan" sheetId="4" r:id="rId1"/>
    <sheet name="3. Ringkasan Biaya" sheetId="5" r:id="rId2"/>
    <sheet name="4. Ringkasan Sumber Pembiayaan" sheetId="3" r:id="rId3"/>
    <sheet name="6. Rincian Biaya" sheetId="2" r:id="rId4"/>
    <sheet name="7. Rincian Sumber Pembiayaan" sheetId="1" r:id="rId5"/>
  </sheets>
  <externalReferences>
    <externalReference r:id="rId6"/>
  </externalReferences>
  <definedNames>
    <definedName name="_xlnm.Print_Area" localSheetId="0">'1. Pengesahan'!$A$1:$C$11</definedName>
    <definedName name="_xlnm.Print_Area" localSheetId="1">'3. Ringkasan Biaya'!$A$1:$F$13</definedName>
    <definedName name="_xlnm.Print_Area" localSheetId="2">'4. Ringkasan Sumber Pembiayaan'!$A$1:$F$24</definedName>
    <definedName name="_xlnm.Print_Area" localSheetId="3">'6. Rincian Biaya'!$B$1:$M$45</definedName>
    <definedName name="_xlnm.Print_Area" localSheetId="4">'7. Rincian Sumber Pembiayaan'!$A$1:$F$52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5" l="1"/>
  <c r="D13" i="5"/>
  <c r="C13" i="5"/>
  <c r="D10" i="4"/>
  <c r="C10" i="4"/>
  <c r="C9" i="4"/>
  <c r="C8" i="4"/>
  <c r="D7" i="4"/>
  <c r="D11" i="4" s="1"/>
  <c r="C7" i="4"/>
  <c r="C6" i="4"/>
  <c r="C5" i="4"/>
  <c r="C4" i="4"/>
  <c r="C3" i="4"/>
  <c r="I45" i="2"/>
  <c r="H45" i="2"/>
  <c r="F45" i="2"/>
  <c r="L44" i="2"/>
  <c r="L43" i="2"/>
  <c r="L42" i="2"/>
  <c r="L41" i="2"/>
  <c r="L40" i="2"/>
  <c r="L39" i="2"/>
  <c r="D45" i="2"/>
  <c r="K45" i="2"/>
  <c r="J45" i="2"/>
  <c r="G45" i="2"/>
  <c r="E45" i="2"/>
  <c r="K30" i="2"/>
  <c r="J30" i="2"/>
  <c r="I30" i="2"/>
  <c r="H30" i="2"/>
  <c r="G30" i="2"/>
  <c r="F30" i="2"/>
  <c r="E30" i="2"/>
  <c r="D30" i="2"/>
  <c r="L29" i="2"/>
  <c r="L28" i="2"/>
  <c r="L27" i="2"/>
  <c r="L26" i="2"/>
  <c r="L25" i="2"/>
  <c r="L24" i="2"/>
  <c r="L23" i="2"/>
  <c r="L22" i="2"/>
  <c r="N15" i="2"/>
  <c r="J15" i="2"/>
  <c r="I15" i="2"/>
  <c r="G15" i="2"/>
  <c r="F15" i="2"/>
  <c r="E15" i="2"/>
  <c r="L13" i="2"/>
  <c r="L12" i="2"/>
  <c r="L11" i="2"/>
  <c r="L10" i="2"/>
  <c r="L9" i="2"/>
  <c r="L8" i="2"/>
  <c r="D15" i="2"/>
  <c r="H15" i="2"/>
  <c r="E44" i="1"/>
  <c r="D44" i="1"/>
  <c r="C44" i="1"/>
  <c r="E40" i="1"/>
  <c r="D40" i="1"/>
  <c r="C40" i="1"/>
  <c r="D30" i="1"/>
  <c r="D29" i="1" s="1"/>
  <c r="E23" i="1"/>
  <c r="D23" i="1"/>
  <c r="C23" i="1"/>
  <c r="C5" i="1" s="1"/>
  <c r="E20" i="1"/>
  <c r="D20" i="1"/>
  <c r="C20" i="1"/>
  <c r="D13" i="1"/>
  <c r="C13" i="1"/>
  <c r="E10" i="1"/>
  <c r="D10" i="1"/>
  <c r="C10" i="1"/>
  <c r="L30" i="2" l="1"/>
  <c r="C11" i="4"/>
  <c r="F11" i="5"/>
  <c r="F9" i="5"/>
  <c r="F7" i="5"/>
  <c r="F5" i="5"/>
  <c r="F8" i="5"/>
  <c r="F10" i="5"/>
  <c r="F6" i="5"/>
  <c r="F12" i="5"/>
  <c r="C14" i="3"/>
  <c r="D14" i="3"/>
  <c r="C5" i="3"/>
  <c r="D5" i="3"/>
  <c r="E5" i="3"/>
  <c r="E14" i="3"/>
  <c r="F16" i="3" s="1"/>
  <c r="F21" i="3"/>
  <c r="F17" i="3"/>
  <c r="C24" i="3"/>
  <c r="F15" i="3"/>
  <c r="L7" i="2"/>
  <c r="K15" i="2"/>
  <c r="L14" i="2"/>
  <c r="L37" i="2"/>
  <c r="L38" i="2"/>
  <c r="D27" i="1"/>
  <c r="D5" i="1"/>
  <c r="E13" i="1"/>
  <c r="L15" i="2" l="1"/>
  <c r="F13" i="5"/>
  <c r="E24" i="3"/>
  <c r="D24" i="3"/>
  <c r="F19" i="3"/>
  <c r="F22" i="3"/>
  <c r="F23" i="3"/>
  <c r="F18" i="3"/>
  <c r="F20" i="3"/>
  <c r="F14" i="3"/>
  <c r="F5" i="3"/>
  <c r="L45" i="2"/>
  <c r="M37" i="2"/>
  <c r="M38" i="2"/>
  <c r="D52" i="1"/>
  <c r="E5" i="1"/>
  <c r="F24" i="3" l="1"/>
  <c r="M42" i="2"/>
  <c r="M39" i="2"/>
  <c r="M45" i="2" s="1"/>
  <c r="M40" i="2"/>
  <c r="M43" i="2"/>
  <c r="M44" i="2"/>
  <c r="M41" i="2"/>
  <c r="C30" i="1"/>
  <c r="C29" i="1" s="1"/>
  <c r="C27" i="1" s="1"/>
  <c r="C52" i="1" s="1"/>
  <c r="E30" i="1" l="1"/>
  <c r="E29" i="1" l="1"/>
  <c r="E27" i="1" l="1"/>
  <c r="F50" i="1" l="1"/>
  <c r="F49" i="1"/>
  <c r="F48" i="1"/>
  <c r="F39" i="1"/>
  <c r="F51" i="1"/>
  <c r="F28" i="1"/>
  <c r="F44" i="1"/>
  <c r="F40" i="1"/>
  <c r="E52" i="1"/>
  <c r="F27" i="1" s="1"/>
  <c r="F29" i="1"/>
  <c r="F5" i="1" l="1"/>
  <c r="F52" i="1" s="1"/>
</calcChain>
</file>

<file path=xl/sharedStrings.xml><?xml version="1.0" encoding="utf-8"?>
<sst xmlns="http://schemas.openxmlformats.org/spreadsheetml/2006/main" count="264" uniqueCount="140">
  <si>
    <t>Rincian Sumber Pembiayaan</t>
  </si>
  <si>
    <t>No</t>
  </si>
  <si>
    <t>Sumber Pembiayaan</t>
  </si>
  <si>
    <t>Realisasi 2024</t>
  </si>
  <si>
    <t>Anggaran 2025</t>
  </si>
  <si>
    <t>Anggaran 2026</t>
  </si>
  <si>
    <t>Proporsi Anggaran 2026</t>
  </si>
  <si>
    <t>(1)</t>
  </si>
  <si>
    <t>(2)</t>
  </si>
  <si>
    <t>(3)</t>
  </si>
  <si>
    <t>(4)</t>
  </si>
  <si>
    <t>(5)</t>
  </si>
  <si>
    <t>(6)</t>
  </si>
  <si>
    <t>APBN</t>
  </si>
  <si>
    <t>(7734) Dukungan Manajemen dan Pelaksanaan tugas Teknis Lainnya Ditjen Pendidikan Tinggi</t>
  </si>
  <si>
    <t>Alokasi BPPTNBH</t>
  </si>
  <si>
    <t>Bantuan Pendanaan Berbasis IKU</t>
  </si>
  <si>
    <t>PUAPT/PRPTNBH</t>
  </si>
  <si>
    <t>PLN/HLN/RMP/SBSN/KPBU</t>
  </si>
  <si>
    <t>a. Prime Step ADB</t>
  </si>
  <si>
    <t>b. PLN RSA UGM</t>
  </si>
  <si>
    <t>Pendanaan Lainnya dari Ditjen Dikti (CF, PDP/MF, IKU, PKKM, dsb)</t>
  </si>
  <si>
    <r>
      <t xml:space="preserve">a.   Competitive Fund </t>
    </r>
    <r>
      <rPr>
        <i/>
        <sz val="10"/>
        <color rgb="FFFF0000"/>
        <rFont val="Times New Roman"/>
        <family val="1"/>
      </rPr>
      <t>(khusus TA 2024)</t>
    </r>
  </si>
  <si>
    <r>
      <t>b.   Program Dana Padanan (</t>
    </r>
    <r>
      <rPr>
        <i/>
        <sz val="10"/>
        <color theme="1"/>
        <rFont val="Times New Roman"/>
        <family val="1"/>
      </rPr>
      <t>Matching Fund</t>
    </r>
    <r>
      <rPr>
        <sz val="10"/>
        <color theme="1"/>
        <rFont val="Times New Roman"/>
        <family val="1"/>
      </rPr>
      <t xml:space="preserve">) </t>
    </r>
    <r>
      <rPr>
        <sz val="10"/>
        <color rgb="FFFF0000"/>
        <rFont val="Times New Roman"/>
        <family val="1"/>
      </rPr>
      <t>(khusus TA 2024)</t>
    </r>
  </si>
  <si>
    <t>c.   PKM</t>
  </si>
  <si>
    <t>d.   Penghargaan Capaian IKU</t>
  </si>
  <si>
    <t>e.   Penerimaan DAPT</t>
  </si>
  <si>
    <t>e.   Penelitain dan Beasiswa</t>
  </si>
  <si>
    <t>Pendanaan dari Unit Eselon I Kemendikbudristek selain Ditjen Dikti</t>
  </si>
  <si>
    <t>a.   Competitive Fund</t>
  </si>
  <si>
    <t xml:space="preserve">b.    </t>
  </si>
  <si>
    <t>Pendanaan dari K/L lain (termasuk Dana Abadi Pendidikan Tinggi dari LPDP)</t>
  </si>
  <si>
    <t>a.   Dana Abadi Pendidikan Tinggi (dari LPDP)</t>
  </si>
  <si>
    <t>b.   Penelitian/EQUITY</t>
  </si>
  <si>
    <t>c.   Dana Beasiswa dan Kontrak Kerjasama Pemerintah</t>
  </si>
  <si>
    <t>SELAIN APBN</t>
  </si>
  <si>
    <t>Dana Masyarakat</t>
  </si>
  <si>
    <t>Biaya Pendidikan (UKT, IPI, dan Pendapatan Jasa Pelayanan Pendidikan Lainnya dari Seluruh Jalur Penerimaan)</t>
  </si>
  <si>
    <t>Penerimaan Pendidikan Utama:</t>
  </si>
  <si>
    <t>a.    Program Diploma</t>
  </si>
  <si>
    <t>b.    Program Sarjana (S1)</t>
  </si>
  <si>
    <t>c.    Program Magister (S2)</t>
  </si>
  <si>
    <t>d.    Program Doktoral (S3)</t>
  </si>
  <si>
    <t>e.    Program Profesi</t>
  </si>
  <si>
    <t>f.    Iuran Pengembangan Institusi (IPI)</t>
  </si>
  <si>
    <t>Penerimaan Pendidikan Lainnya</t>
  </si>
  <si>
    <t>Pengelolaan Dana Abadi</t>
  </si>
  <si>
    <t>Usaha PTN Badan Hukum</t>
  </si>
  <si>
    <t>a.    Penerimaan Jasa Universitas</t>
  </si>
  <si>
    <t>b.    Penerimaan dari Unit Pendukung Universitas</t>
  </si>
  <si>
    <t>c.   Hibah dan Donasi</t>
  </si>
  <si>
    <t>Kerjasama Tridharma Perguruan Tinggi</t>
  </si>
  <si>
    <t>a.    Kerjasama 1 (sebutkan kerjasama PTN Badan Hukum)</t>
  </si>
  <si>
    <t>b.    Kerjasama 2</t>
  </si>
  <si>
    <t>Pengelolaan Kekayaan PTN Badan Hukum</t>
  </si>
  <si>
    <t>APBD</t>
  </si>
  <si>
    <t>Pinjaman</t>
  </si>
  <si>
    <t>Saldo Kas</t>
  </si>
  <si>
    <t>TOTAL</t>
  </si>
  <si>
    <t>Anggaran N</t>
  </si>
  <si>
    <t>Proporsi Anggaran N</t>
  </si>
  <si>
    <t>Anggaran N-1</t>
  </si>
  <si>
    <t>Realisasi N-2</t>
  </si>
  <si>
    <t>&lt;TOTAL RUPAIH MURNI&gt;</t>
  </si>
  <si>
    <t>&lt;TOTAL BPPTNBH&gt;</t>
  </si>
  <si>
    <t>Rincian Biaya</t>
  </si>
  <si>
    <t>Komponen Biaya</t>
  </si>
  <si>
    <t>Selain APBN</t>
  </si>
  <si>
    <t>Total</t>
  </si>
  <si>
    <t xml:space="preserve">(4257) Dukungan Manajemen </t>
  </si>
  <si>
    <t>PUAPT/ PRPTNBH</t>
  </si>
  <si>
    <t>Pendanaan dari Ditjen Diktiristek Lainnya (CF, MF,IKU, PKKM, dsb)</t>
  </si>
  <si>
    <t>Pendanaan dari Unit Eselon I Kemendikbudristek selain Ditjen Diktiristek</t>
  </si>
  <si>
    <t>Pendanaan dari K/L Lain</t>
  </si>
  <si>
    <t>(7)</t>
  </si>
  <si>
    <t>(8)</t>
  </si>
  <si>
    <t>(9)</t>
  </si>
  <si>
    <t>(10)</t>
  </si>
  <si>
    <t>(11)</t>
  </si>
  <si>
    <t>Biaya Operasional</t>
  </si>
  <si>
    <t>Biaya Dosen ASN (gaji dan tunjangan yang melekat pada gaji)</t>
  </si>
  <si>
    <t>Biaya Tenaga Kependidikan ASN (gaji dan tunjangan yang melekat pada gaji)</t>
  </si>
  <si>
    <t>Biaya Dosen NonASN (gaji dan tunjangan yang melekat pada gaji)</t>
  </si>
  <si>
    <t>Biaya Tenaga Kependidikan NonASN (gaji dan tunjangan yang melekat pada gaji)</t>
  </si>
  <si>
    <t>Remunerasi/Imbal Jasa/Insentif/Sejenisnya</t>
  </si>
  <si>
    <t>Biaya Investasi (Prasarana dan Sarana)</t>
  </si>
  <si>
    <t>Biaya Pengembangan</t>
  </si>
  <si>
    <t xml:space="preserve">(7734) Dukungan Manajemen </t>
  </si>
  <si>
    <t>Pendanaan dari Ditjen Dikti Lainnya (IKU, PKKM, dsb)</t>
  </si>
  <si>
    <t>Pendanaan dari Unit Eselon I Kemendiktisaintek selain Ditjen Dikti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</si>
  <si>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</si>
  <si>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</si>
  <si>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</si>
  <si>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</si>
  <si>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</si>
  <si>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</si>
  <si>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</si>
  <si>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</si>
  <si>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</si>
  <si>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Proporsi Komponen Biaya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</si>
  <si>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</si>
  <si>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</si>
  <si>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</si>
  <si>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</si>
  <si>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</si>
  <si>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</si>
  <si>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</si>
  <si>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</si>
  <si>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</si>
  <si>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</si>
  <si>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Keterangan:</t>
  </si>
  <si>
    <t>(4257/7734) Dukungan Manajemen dan Pelaksanaan tugas Teknis Lainnya Ditjen Pendidikan Tinggi</t>
  </si>
  <si>
    <t>:</t>
  </si>
  <si>
    <t>Alokasi Dukungan Manajemen dan Pelaksanaan tugas Teknis Lainnya Ditjen Pendidikan Tinggi yang tercantum dalam DIPA PTN Badan Hukum</t>
  </si>
  <si>
    <t>Alokasi Bantuan Pendanaan Perguruan Tinggi Negeri Badan Hukum</t>
  </si>
  <si>
    <t>Alokasi Pusat Unggulan Antar Perguruan Tinggi/Program Revitalisasi Perguruan Tinggi Negeri Badan Hukum</t>
  </si>
  <si>
    <t>Pendanaan Lainnya dari Ditjen Diktiristek (IKU, PKKM, dsb)</t>
  </si>
  <si>
    <t>Alokasi lainnya yang diterima oleh PTN Badan Hukum dari Ditjen Dikti seperti Penghargaan Capaian Indikator Kinerja Utama, Program Kompetisi Kampus Merdeka, dsb</t>
  </si>
  <si>
    <t>Alokasi lainnya yang diterima oleh PTN Badan Hukum yang berasal dari Unit Eselon I Kemendiktisaintek selain Ditjen Dikti</t>
  </si>
  <si>
    <t xml:space="preserve">Pendanaan dari K/L lain </t>
  </si>
  <si>
    <t>Alokasi lainnya yang diterima oleh PTN Badan Hukum dari Kementerian/Lembaga selain Kemendiktisaintek</t>
  </si>
  <si>
    <t>Pendanaan yang bersumber dari selain anggaran pendapatan dan belanja negara menurut PP Nomor 26 Tahun 2015 sebagaimana diubah dalam PP Nomor 8 Tahun 2020</t>
  </si>
  <si>
    <t>Ringkasan Sumber Pembiayaan</t>
  </si>
  <si>
    <t>Pendanaan Lainnya dari Ditjen Dikti</t>
  </si>
  <si>
    <t>Tabel Pengesahan</t>
  </si>
  <si>
    <t>1.</t>
  </si>
  <si>
    <t>2.</t>
  </si>
  <si>
    <t>3.</t>
  </si>
  <si>
    <t>4.</t>
  </si>
  <si>
    <t>5.</t>
  </si>
  <si>
    <t>Pendanaan Lainnya dari Ditjen Dikti (IKU, PKKM, dsb)</t>
  </si>
  <si>
    <t>6.</t>
  </si>
  <si>
    <t>7.</t>
  </si>
  <si>
    <t>Pendanaan dari K/L lain</t>
  </si>
  <si>
    <t>8.</t>
  </si>
  <si>
    <t>Ringkasan Biaya</t>
  </si>
  <si>
    <t>Biaya Dosen PNS (gaji dan tunjangan yang melekat pada gaji)</t>
  </si>
  <si>
    <t>Biaya Tenaga Kependidikan PNS (gaji dan tunjangan yang melekat pada gaji)</t>
  </si>
  <si>
    <t>Biaya Dosen Non PNS (gaji dan tunjangan yang melekat pada gaji)</t>
  </si>
  <si>
    <t>Biaya Tenaga Kependidikan Non PNS (gaji dan tunjangan yang melekat pada gaji)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</si>
</sst>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</cellStyleXfs>
  <cellXfs count="11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41" fontId="4" fillId="0" borderId="1" xfId="4" applyFont="1" applyBorder="1" applyAlignment="1">
      <alignment horizontal="right" vertical="center" wrapText="1"/>
    </xf>
    <xf numFmtId="9" fontId="4" fillId="0" borderId="1" xfId="3" applyFont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1" fontId="5" fillId="0" borderId="1" xfId="4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justify" vertical="top" wrapText="1"/>
    </xf>
    <xf numFmtId="41" fontId="5" fillId="0" borderId="1" xfId="4" applyFont="1" applyBorder="1" applyAlignment="1">
      <alignment horizontal="right" vertical="top" wrapText="1"/>
    </xf>
    <xf numFmtId="0" fontId="5" fillId="0" borderId="1" xfId="0" applyFont="1" applyBorder="1" applyAlignment="1">
      <alignment vertical="center" wrapText="1"/>
    </xf>
    <xf numFmtId="41" fontId="5" fillId="0" borderId="1" xfId="4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41" fontId="5" fillId="0" borderId="1" xfId="4" applyFont="1" applyBorder="1" applyAlignment="1">
      <alignment horizontal="right" vertical="center" wrapText="1"/>
    </xf>
    <xf numFmtId="9" fontId="5" fillId="0" borderId="1" xfId="3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justify" vertical="center" wrapText="1"/>
    </xf>
    <xf numFmtId="41" fontId="4" fillId="5" borderId="1" xfId="4" applyFont="1" applyFill="1" applyBorder="1" applyAlignment="1">
      <alignment horizontal="right" vertical="center" wrapText="1"/>
    </xf>
    <xf numFmtId="9" fontId="4" fillId="5" borderId="1" xfId="3" applyFont="1" applyFill="1" applyBorder="1" applyAlignment="1">
      <alignment horizontal="center" vertical="center" wrapText="1"/>
    </xf>
    <xf numFmtId="41" fontId="4" fillId="0" borderId="1" xfId="4" applyFont="1" applyFill="1" applyBorder="1" applyAlignment="1">
      <alignment horizontal="right" vertical="center" wrapText="1"/>
    </xf>
    <xf numFmtId="41" fontId="5" fillId="0" borderId="3" xfId="4" applyFont="1" applyFill="1" applyBorder="1" applyAlignment="1">
      <alignment horizontal="right" vertical="top" wrapText="1"/>
    </xf>
    <xf numFmtId="165" fontId="0" fillId="0" borderId="1" xfId="1" applyNumberFormat="1" applyFont="1" applyFill="1" applyBorder="1" applyAlignment="1">
      <alignment vertical="center"/>
    </xf>
    <xf numFmtId="41" fontId="4" fillId="0" borderId="1" xfId="4" applyFont="1" applyFill="1" applyBorder="1" applyAlignment="1">
      <alignment horizontal="right" vertical="top" wrapText="1"/>
    </xf>
    <xf numFmtId="41" fontId="9" fillId="0" borderId="1" xfId="4" applyFont="1" applyFill="1" applyBorder="1" applyAlignment="1">
      <alignment horizontal="right" vertical="center" wrapText="1"/>
    </xf>
    <xf numFmtId="3" fontId="11" fillId="0" borderId="1" xfId="5" applyNumberFormat="1" applyFont="1" applyFill="1" applyBorder="1"/>
    <xf numFmtId="3" fontId="12" fillId="0" borderId="1" xfId="5" applyNumberFormat="1" applyFont="1" applyFill="1" applyBorder="1"/>
    <xf numFmtId="0" fontId="13" fillId="0" borderId="0" xfId="0" applyFont="1"/>
    <xf numFmtId="0" fontId="14" fillId="0" borderId="0" xfId="0" applyFont="1"/>
    <xf numFmtId="0" fontId="4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quotePrefix="1" applyFont="1" applyFill="1" applyBorder="1" applyAlignment="1">
      <alignment horizontal="center" vertical="center" wrapText="1"/>
    </xf>
    <xf numFmtId="0" fontId="15" fillId="3" borderId="2" xfId="0" quotePrefix="1" applyFont="1" applyFill="1" applyBorder="1" applyAlignment="1">
      <alignment horizontal="center" vertical="center" wrapText="1"/>
    </xf>
    <xf numFmtId="0" fontId="15" fillId="3" borderId="3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41" fontId="18" fillId="4" borderId="1" xfId="2" applyFont="1" applyFill="1" applyBorder="1" applyAlignment="1">
      <alignment horizontal="center" vertical="center" wrapText="1"/>
    </xf>
    <xf numFmtId="165" fontId="0" fillId="4" borderId="1" xfId="1" applyNumberFormat="1" applyFont="1" applyFill="1" applyBorder="1" applyAlignment="1">
      <alignment vertical="center"/>
    </xf>
    <xf numFmtId="41" fontId="18" fillId="0" borderId="1" xfId="2" applyFont="1" applyBorder="1" applyAlignment="1">
      <alignment horizontal="center" vertical="center" wrapText="1"/>
    </xf>
    <xf numFmtId="41" fontId="15" fillId="0" borderId="1" xfId="2" applyFont="1" applyBorder="1" applyAlignment="1">
      <alignment horizontal="center" vertical="center" wrapText="1"/>
    </xf>
    <xf numFmtId="41" fontId="18" fillId="6" borderId="1" xfId="2" applyFont="1" applyFill="1" applyBorder="1" applyAlignment="1">
      <alignment horizontal="center" vertical="center" wrapText="1"/>
    </xf>
    <xf numFmtId="0" fontId="14" fillId="7" borderId="2" xfId="0" applyFont="1" applyFill="1" applyBorder="1"/>
    <xf numFmtId="0" fontId="15" fillId="7" borderId="1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166" fontId="15" fillId="7" borderId="1" xfId="1" applyNumberFormat="1" applyFont="1" applyFill="1" applyBorder="1" applyAlignment="1">
      <alignment horizontal="center" vertical="center" wrapText="1"/>
    </xf>
    <xf numFmtId="41" fontId="15" fillId="7" borderId="1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6" fontId="15" fillId="0" borderId="0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9" fillId="0" borderId="0" xfId="0" applyFont="1"/>
    <xf numFmtId="0" fontId="4" fillId="7" borderId="1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8" borderId="1" xfId="0" quotePrefix="1" applyFont="1" applyFill="1" applyBorder="1" applyAlignment="1">
      <alignment horizontal="center" vertical="center" wrapText="1"/>
    </xf>
    <xf numFmtId="0" fontId="15" fillId="8" borderId="2" xfId="0" quotePrefix="1" applyFont="1" applyFill="1" applyBorder="1" applyAlignment="1">
      <alignment horizontal="center" vertical="center" wrapText="1"/>
    </xf>
    <xf numFmtId="0" fontId="15" fillId="8" borderId="3" xfId="0" quotePrefix="1" applyFont="1" applyFill="1" applyBorder="1" applyAlignment="1">
      <alignment horizontal="center" vertical="center" wrapText="1"/>
    </xf>
    <xf numFmtId="41" fontId="18" fillId="0" borderId="1" xfId="2" applyFont="1" applyFill="1" applyBorder="1" applyAlignment="1">
      <alignment horizontal="center" vertical="center" wrapText="1"/>
    </xf>
    <xf numFmtId="41" fontId="18" fillId="9" borderId="1" xfId="2" applyFont="1" applyFill="1" applyBorder="1" applyAlignment="1">
      <alignment horizontal="center" vertical="center" wrapText="1"/>
    </xf>
    <xf numFmtId="9" fontId="18" fillId="0" borderId="1" xfId="3" applyFont="1" applyBorder="1" applyAlignment="1">
      <alignment horizontal="center" vertical="center" wrapText="1"/>
    </xf>
    <xf numFmtId="41" fontId="9" fillId="0" borderId="1" xfId="2" applyFont="1" applyFill="1" applyBorder="1" applyAlignment="1">
      <alignment horizontal="center" vertical="center" wrapText="1"/>
    </xf>
    <xf numFmtId="41" fontId="15" fillId="0" borderId="1" xfId="2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41" fontId="5" fillId="0" borderId="1" xfId="4" applyFont="1" applyBorder="1" applyAlignment="1">
      <alignment horizontal="center" vertical="center" wrapText="1"/>
    </xf>
    <xf numFmtId="10" fontId="5" fillId="0" borderId="1" xfId="3" applyNumberFormat="1" applyFont="1" applyBorder="1" applyAlignment="1">
      <alignment horizontal="center" vertical="center" wrapText="1"/>
    </xf>
    <xf numFmtId="10" fontId="4" fillId="0" borderId="1" xfId="3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42" fontId="21" fillId="0" borderId="1" xfId="4" applyNumberFormat="1" applyFont="1" applyFill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 wrapText="1"/>
    </xf>
    <xf numFmtId="42" fontId="22" fillId="0" borderId="1" xfId="4" applyNumberFormat="1" applyFont="1" applyFill="1" applyBorder="1" applyAlignment="1">
      <alignment horizontal="right" vertical="center" wrapText="1"/>
    </xf>
    <xf numFmtId="41" fontId="5" fillId="0" borderId="1" xfId="4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41" fontId="4" fillId="0" borderId="1" xfId="4" applyFont="1" applyBorder="1" applyAlignment="1">
      <alignment horizontal="justify" vertical="center" wrapText="1"/>
    </xf>
    <xf numFmtId="41" fontId="4" fillId="0" borderId="1" xfId="4" applyFont="1" applyBorder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" xfId="4" xr:uid="{A79D2C74-4BC9-4B97-937C-6B329C80AE1C}"/>
    <cellStyle name="Normal" xfId="0" builtinId="0"/>
    <cellStyle name="Normal 2" xfId="5" xr:uid="{F1EFA34B-B23A-4FC0-A19B-4B6F5C29ABD8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281940</xdr:colOff>
      <xdr:row>8</xdr:row>
      <xdr:rowOff>106680</xdr:rowOff>
    </xdr:from>
    <xdr:to>
      <xdr:col>23</xdr:col>
      <xdr:colOff>602858</xdr:colOff>
      <xdr:row>30</xdr:row>
      <xdr:rowOff>61505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A7D3A-E2B5-4D01-846D-3FF9DA5B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1940" y="2284730"/>
          <a:ext cx="10347568" cy="6088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gm365-my.sharepoint.com/personal/bagus_sri_w_365_ugm_ac_id/Documents/Kerjaan/Direktorat%20Keuangan%202026/RKT%202026/Kertas%20Kerja/KK%20Tabel%20RKAT%202026_2.xlsx" TargetMode="External"/><Relationship Id="rId1" Type="http://schemas.openxmlformats.org/officeDocument/2006/relationships/externalLinkPath" Target="Kerjaan/Direktorat%20Keuangan%202026/RKT%202026/Kertas%20Kerja/KK%20Tabel%20RKAT%202026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liassi insetif 22024"/>
      <sheetName val="realisasi Gaji 2024"/>
      <sheetName val="2. Kinerja (2)"/>
      <sheetName val="Realisasi 2024"/>
      <sheetName val="Sheet1 (2)"/>
      <sheetName val="PNS"/>
      <sheetName val="indikator"/>
      <sheetName val="Sheet1"/>
      <sheetName val="rkat_26.01.14"/>
      <sheetName val="penerimaan"/>
      <sheetName val="0. Petunjuk"/>
      <sheetName val="1. Pengesahan"/>
      <sheetName val="2. Kinerja"/>
      <sheetName val="3. Ringkasan Biaya"/>
      <sheetName val="4. Ringkasan Sumber Pembiayaan"/>
      <sheetName val="5. RKT"/>
      <sheetName val="5. RKT (2)"/>
      <sheetName val="6. Rincian Biaya"/>
      <sheetName val="7. Rincian Sumber Pembiayaan"/>
      <sheetName val="8. Sarpras"/>
      <sheetName val="9. Kajian Risiko"/>
      <sheetName val="10. Lampiran RK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E6">
            <v>494508254000</v>
          </cell>
        </row>
        <row r="7">
          <cell r="E7">
            <v>172942300000</v>
          </cell>
        </row>
        <row r="9">
          <cell r="E9">
            <v>0</v>
          </cell>
        </row>
        <row r="10">
          <cell r="E10">
            <v>48070000000</v>
          </cell>
        </row>
        <row r="11">
          <cell r="E11">
            <v>56044621880</v>
          </cell>
        </row>
        <row r="12">
          <cell r="E12">
            <v>0</v>
          </cell>
        </row>
        <row r="13">
          <cell r="E13">
            <v>198939285850</v>
          </cell>
        </row>
        <row r="14">
          <cell r="E14">
            <v>3254878269597.8174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3785-CD9C-46AD-A297-27404A9208DF}">
  <sheetPr>
    <pageSetUpPr fitToPage="1"/>
  </sheetPr>
  <dimension ref="A1:D11"/>
  <sheetViews>
    <sheetView showGridLines="0" zoomScale="90" zoomScaleNormal="90" workbookViewId="0">
      <pane xSplit="2" ySplit="2" topLeftCell="C3" activePane="bottomRight" state="frozen"/>
      <selection activeCell="E13" sqref="E13"/>
      <selection pane="topRight" activeCell="E13" sqref="E13"/>
      <selection pane="bottomLeft" activeCell="E13" sqref="E13"/>
      <selection pane="bottomRight" activeCell="D15" sqref="D15"/>
    </sheetView>
  </sheetViews>
  <sheetFormatPr defaultColWidth="8.81640625" defaultRowHeight="14.5" x14ac:dyDescent="0.35"/>
  <cols>
    <col min="1" max="1" width="4.453125" customWidth="1"/>
    <col min="2" max="2" width="49.81640625" customWidth="1"/>
    <col min="3" max="3" width="28.81640625" customWidth="1"/>
    <col min="4" max="4" width="22.36328125" bestFit="1" customWidth="1"/>
  </cols>
  <sheetData>
    <row r="1" spans="1:4" x14ac:dyDescent="0.35">
      <c r="A1" s="1" t="s">
        <v>124</v>
      </c>
    </row>
    <row r="3" spans="1:4" ht="31" x14ac:dyDescent="0.35">
      <c r="A3" s="102" t="s">
        <v>125</v>
      </c>
      <c r="B3" s="103" t="s">
        <v>14</v>
      </c>
      <c r="C3" s="104">
        <f>'[1]4. Ringkasan Sumber Pembiayaan'!E6</f>
        <v>494508254000</v>
      </c>
      <c r="D3" s="104">
        <v>494508254000</v>
      </c>
    </row>
    <row r="4" spans="1:4" ht="28.5" customHeight="1" x14ac:dyDescent="0.35">
      <c r="A4" s="102" t="s">
        <v>126</v>
      </c>
      <c r="B4" s="103" t="s">
        <v>15</v>
      </c>
      <c r="C4" s="104">
        <f>'[1]4. Ringkasan Sumber Pembiayaan'!E7</f>
        <v>172942300000</v>
      </c>
      <c r="D4" s="104">
        <v>172942300000</v>
      </c>
    </row>
    <row r="5" spans="1:4" ht="28.5" customHeight="1" x14ac:dyDescent="0.35">
      <c r="A5" s="102" t="s">
        <v>127</v>
      </c>
      <c r="B5" s="103" t="s">
        <v>17</v>
      </c>
      <c r="C5" s="104">
        <f>'[1]4. Ringkasan Sumber Pembiayaan'!E9</f>
        <v>0</v>
      </c>
      <c r="D5" s="104">
        <v>0</v>
      </c>
    </row>
    <row r="6" spans="1:4" ht="28.5" customHeight="1" x14ac:dyDescent="0.35">
      <c r="A6" s="102" t="s">
        <v>128</v>
      </c>
      <c r="B6" s="103" t="s">
        <v>18</v>
      </c>
      <c r="C6" s="104">
        <f>'[1]4. Ringkasan Sumber Pembiayaan'!E10</f>
        <v>48070000000</v>
      </c>
      <c r="D6" s="104">
        <v>48070000000</v>
      </c>
    </row>
    <row r="7" spans="1:4" ht="38.75" customHeight="1" x14ac:dyDescent="0.35">
      <c r="A7" s="102" t="s">
        <v>129</v>
      </c>
      <c r="B7" s="103" t="s">
        <v>130</v>
      </c>
      <c r="C7" s="104">
        <f>'[1]4. Ringkasan Sumber Pembiayaan'!E11</f>
        <v>56044621880</v>
      </c>
      <c r="D7" s="104">
        <f>56044621880+121739285850-D6</f>
        <v>129713907730</v>
      </c>
    </row>
    <row r="8" spans="1:4" ht="37.25" customHeight="1" x14ac:dyDescent="0.35">
      <c r="A8" s="102" t="s">
        <v>131</v>
      </c>
      <c r="B8" s="103" t="s">
        <v>89</v>
      </c>
      <c r="C8" s="104">
        <f>'[1]4. Ringkasan Sumber Pembiayaan'!E12</f>
        <v>0</v>
      </c>
      <c r="D8" s="104">
        <v>0</v>
      </c>
    </row>
    <row r="9" spans="1:4" ht="28.5" customHeight="1" x14ac:dyDescent="0.35">
      <c r="A9" s="102" t="s">
        <v>132</v>
      </c>
      <c r="B9" s="103" t="s">
        <v>133</v>
      </c>
      <c r="C9" s="104">
        <f>'[1]4. Ringkasan Sumber Pembiayaan'!E13</f>
        <v>198939285850</v>
      </c>
      <c r="D9" s="104">
        <v>77200000000</v>
      </c>
    </row>
    <row r="10" spans="1:4" ht="28.5" customHeight="1" x14ac:dyDescent="0.35">
      <c r="A10" s="102" t="s">
        <v>134</v>
      </c>
      <c r="B10" s="103" t="s">
        <v>67</v>
      </c>
      <c r="C10" s="104">
        <f>'[1]4. Ringkasan Sumber Pembiayaan'!E14</f>
        <v>3254878269597.8174</v>
      </c>
      <c r="D10" s="104">
        <f>3033365173638-0</f>
        <v>3033365173638</v>
      </c>
    </row>
    <row r="11" spans="1:4" s="7" customFormat="1" ht="28.5" customHeight="1" x14ac:dyDescent="0.35">
      <c r="A11" s="105" t="s">
        <v>58</v>
      </c>
      <c r="B11" s="105"/>
      <c r="C11" s="106">
        <f>SUM(C3:C10)</f>
        <v>4225382731327.8174</v>
      </c>
      <c r="D11" s="106">
        <f>SUM(D3:D10)</f>
        <v>3955799635368</v>
      </c>
    </row>
  </sheetData>
  <mergeCells count="1">
    <mergeCell ref="A11:B1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6AC0-C92A-485D-BD43-58357335F4E8}">
  <sheetPr>
    <pageSetUpPr fitToPage="1"/>
  </sheetPr>
  <dimension ref="A1:F13"/>
  <sheetViews>
    <sheetView showGridLines="0" workbookViewId="0">
      <pane xSplit="2" ySplit="4" topLeftCell="C6" activePane="bottomRight" state="frozen"/>
      <selection activeCell="E13" sqref="E13"/>
      <selection pane="topRight" activeCell="E13" sqref="E13"/>
      <selection pane="bottomLeft" activeCell="E13" sqref="E13"/>
      <selection pane="bottomRight" activeCell="C5" sqref="C5:E12"/>
    </sheetView>
  </sheetViews>
  <sheetFormatPr defaultColWidth="8.81640625" defaultRowHeight="14.5" x14ac:dyDescent="0.35"/>
  <cols>
    <col min="1" max="1" width="4.81640625" customWidth="1"/>
    <col min="2" max="2" width="29.81640625" customWidth="1"/>
    <col min="3" max="5" width="17.81640625" customWidth="1"/>
    <col min="6" max="6" width="10.1796875" customWidth="1"/>
    <col min="8" max="8" width="16.36328125" bestFit="1" customWidth="1"/>
    <col min="9" max="9" width="14.453125" bestFit="1" customWidth="1"/>
    <col min="11" max="11" width="20" bestFit="1" customWidth="1"/>
  </cols>
  <sheetData>
    <row r="1" spans="1:6" x14ac:dyDescent="0.35">
      <c r="A1" s="1" t="s">
        <v>135</v>
      </c>
    </row>
    <row r="3" spans="1:6" ht="39" x14ac:dyDescent="0.35">
      <c r="A3" s="2" t="s">
        <v>1</v>
      </c>
      <c r="B3" s="2" t="s">
        <v>66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28.25" customHeight="1" x14ac:dyDescent="0.35">
      <c r="A5" s="19">
        <v>1</v>
      </c>
      <c r="B5" s="18" t="s">
        <v>79</v>
      </c>
      <c r="C5" s="107"/>
      <c r="D5" s="107"/>
      <c r="E5" s="107"/>
      <c r="F5" s="21" t="e">
        <f>E5/E$13</f>
        <v>#DIV/0!</v>
      </c>
    </row>
    <row r="6" spans="1:6" ht="28.25" customHeight="1" x14ac:dyDescent="0.35">
      <c r="A6" s="19">
        <v>2</v>
      </c>
      <c r="B6" s="18" t="s">
        <v>136</v>
      </c>
      <c r="C6" s="107"/>
      <c r="D6" s="107"/>
      <c r="E6" s="107"/>
      <c r="F6" s="21" t="e">
        <f t="shared" ref="F6:F12" si="0">E6/E$13</f>
        <v>#DIV/0!</v>
      </c>
    </row>
    <row r="7" spans="1:6" ht="28.25" customHeight="1" x14ac:dyDescent="0.35">
      <c r="A7" s="19">
        <v>3</v>
      </c>
      <c r="B7" s="18" t="s">
        <v>137</v>
      </c>
      <c r="C7" s="107"/>
      <c r="D7" s="107"/>
      <c r="E7" s="107"/>
      <c r="F7" s="21" t="e">
        <f t="shared" si="0"/>
        <v>#DIV/0!</v>
      </c>
    </row>
    <row r="8" spans="1:6" ht="28.25" customHeight="1" x14ac:dyDescent="0.35">
      <c r="A8" s="19">
        <v>4</v>
      </c>
      <c r="B8" s="18" t="s">
        <v>138</v>
      </c>
      <c r="C8" s="107"/>
      <c r="D8" s="107"/>
      <c r="E8" s="107"/>
      <c r="F8" s="21" t="e">
        <f t="shared" si="0"/>
        <v>#DIV/0!</v>
      </c>
    </row>
    <row r="9" spans="1:6" ht="39" x14ac:dyDescent="0.35">
      <c r="A9" s="19">
        <v>5</v>
      </c>
      <c r="B9" s="18" t="s">
        <v>139</v>
      </c>
      <c r="C9" s="107"/>
      <c r="D9" s="107"/>
      <c r="E9" s="107"/>
      <c r="F9" s="21" t="e">
        <f t="shared" si="0"/>
        <v>#DIV/0!</v>
      </c>
    </row>
    <row r="10" spans="1:6" ht="28.25" customHeight="1" x14ac:dyDescent="0.35">
      <c r="A10" s="19">
        <v>6</v>
      </c>
      <c r="B10" s="18" t="s">
        <v>84</v>
      </c>
      <c r="C10" s="107"/>
      <c r="D10" s="107"/>
      <c r="E10" s="107"/>
      <c r="F10" s="21" t="e">
        <f t="shared" si="0"/>
        <v>#DIV/0!</v>
      </c>
    </row>
    <row r="11" spans="1:6" ht="28.25" customHeight="1" x14ac:dyDescent="0.35">
      <c r="A11" s="19">
        <v>7</v>
      </c>
      <c r="B11" s="18" t="s">
        <v>85</v>
      </c>
      <c r="C11" s="107"/>
      <c r="D11" s="107"/>
      <c r="E11" s="107"/>
      <c r="F11" s="21" t="e">
        <f t="shared" si="0"/>
        <v>#DIV/0!</v>
      </c>
    </row>
    <row r="12" spans="1:6" ht="28.25" customHeight="1" x14ac:dyDescent="0.35">
      <c r="A12" s="19">
        <v>8</v>
      </c>
      <c r="B12" s="18" t="s">
        <v>86</v>
      </c>
      <c r="C12" s="107"/>
      <c r="D12" s="107"/>
      <c r="E12" s="107"/>
      <c r="F12" s="21" t="e">
        <f t="shared" si="0"/>
        <v>#DIV/0!</v>
      </c>
    </row>
    <row r="13" spans="1:6" ht="28.25" customHeight="1" x14ac:dyDescent="0.35">
      <c r="A13" s="108" t="s">
        <v>68</v>
      </c>
      <c r="B13" s="108"/>
      <c r="C13" s="109">
        <f>SUM(C5:C12)</f>
        <v>0</v>
      </c>
      <c r="D13" s="109">
        <f t="shared" ref="D13:F13" si="1">SUM(D5:D12)</f>
        <v>0</v>
      </c>
      <c r="E13" s="109">
        <f t="shared" si="1"/>
        <v>0</v>
      </c>
      <c r="F13" s="110" t="e">
        <f t="shared" si="1"/>
        <v>#DIV/0!</v>
      </c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paperSize="9" scale="7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280A-00CB-43BD-B853-F234FF16401D}">
  <sheetPr>
    <pageSetUpPr fitToPage="1"/>
  </sheetPr>
  <dimension ref="A1:F24"/>
  <sheetViews>
    <sheetView showGridLines="0" workbookViewId="0">
      <pane xSplit="2" ySplit="4" topLeftCell="C5" activePane="bottomRight" state="frozen"/>
      <selection activeCell="E13" sqref="E13"/>
      <selection pane="topRight" activeCell="E13" sqref="E13"/>
      <selection pane="bottomLeft" activeCell="E13" sqref="E13"/>
      <selection pane="bottomRight" activeCell="C15" sqref="C15:E23"/>
    </sheetView>
  </sheetViews>
  <sheetFormatPr defaultColWidth="8.81640625" defaultRowHeight="14.5" x14ac:dyDescent="0.35"/>
  <cols>
    <col min="1" max="1" width="4.453125" customWidth="1"/>
    <col min="2" max="2" width="33.81640625" customWidth="1"/>
    <col min="3" max="4" width="16.81640625" customWidth="1"/>
    <col min="5" max="5" width="16.81640625" bestFit="1" customWidth="1"/>
    <col min="6" max="6" width="11.81640625" customWidth="1"/>
  </cols>
  <sheetData>
    <row r="1" spans="1:6" x14ac:dyDescent="0.35">
      <c r="A1" s="1" t="s">
        <v>122</v>
      </c>
    </row>
    <row r="3" spans="1:6" ht="26" x14ac:dyDescent="0.35">
      <c r="A3" s="2" t="s">
        <v>1</v>
      </c>
      <c r="B3" s="2" t="s">
        <v>2</v>
      </c>
      <c r="C3" s="2" t="s">
        <v>62</v>
      </c>
      <c r="D3" s="2" t="s">
        <v>61</v>
      </c>
      <c r="E3" s="2" t="s">
        <v>59</v>
      </c>
      <c r="F3" s="2" t="s">
        <v>60</v>
      </c>
    </row>
    <row r="4" spans="1:6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s="7" customFormat="1" ht="21" customHeight="1" x14ac:dyDescent="0.35">
      <c r="A5" s="4" t="s">
        <v>13</v>
      </c>
      <c r="B5" s="4"/>
      <c r="C5" s="5">
        <f>SUM(C6:C13)</f>
        <v>0</v>
      </c>
      <c r="D5" s="5">
        <f>SUM(D6:D13)</f>
        <v>0</v>
      </c>
      <c r="E5" s="5">
        <f>SUM(E6:E13)</f>
        <v>0</v>
      </c>
      <c r="F5" s="6" t="e">
        <f>E5/E$24</f>
        <v>#DIV/0!</v>
      </c>
    </row>
    <row r="6" spans="1:6" ht="39" x14ac:dyDescent="0.35">
      <c r="A6" s="19">
        <v>1</v>
      </c>
      <c r="B6" s="13" t="s">
        <v>14</v>
      </c>
      <c r="C6" s="20"/>
      <c r="D6" s="20"/>
      <c r="E6" s="34" t="s">
        <v>63</v>
      </c>
      <c r="F6" s="99"/>
    </row>
    <row r="7" spans="1:6" ht="26" x14ac:dyDescent="0.35">
      <c r="A7" s="19">
        <v>2</v>
      </c>
      <c r="B7" s="13" t="s">
        <v>15</v>
      </c>
      <c r="C7" s="20"/>
      <c r="D7" s="20"/>
      <c r="E7" s="34" t="s">
        <v>64</v>
      </c>
      <c r="F7" s="99"/>
    </row>
    <row r="8" spans="1:6" ht="18" customHeight="1" x14ac:dyDescent="0.35">
      <c r="A8" s="19">
        <v>3</v>
      </c>
      <c r="B8" s="13" t="s">
        <v>16</v>
      </c>
      <c r="C8" s="20"/>
      <c r="D8" s="20"/>
      <c r="E8" s="20"/>
      <c r="F8" s="99"/>
    </row>
    <row r="9" spans="1:6" ht="18" customHeight="1" x14ac:dyDescent="0.35">
      <c r="A9" s="19">
        <v>4</v>
      </c>
      <c r="B9" s="13" t="s">
        <v>17</v>
      </c>
      <c r="C9" s="20"/>
      <c r="D9" s="20"/>
      <c r="E9" s="20"/>
      <c r="F9" s="99"/>
    </row>
    <row r="10" spans="1:6" ht="18" customHeight="1" x14ac:dyDescent="0.35">
      <c r="A10" s="19">
        <v>5</v>
      </c>
      <c r="B10" s="13" t="s">
        <v>18</v>
      </c>
      <c r="C10" s="20"/>
      <c r="D10" s="20"/>
      <c r="E10" s="20"/>
      <c r="F10" s="99"/>
    </row>
    <row r="11" spans="1:6" x14ac:dyDescent="0.35">
      <c r="A11" s="19">
        <v>6</v>
      </c>
      <c r="B11" s="13" t="s">
        <v>123</v>
      </c>
      <c r="C11" s="20"/>
      <c r="D11" s="20"/>
      <c r="E11" s="20"/>
      <c r="F11" s="99"/>
    </row>
    <row r="12" spans="1:6" ht="26" x14ac:dyDescent="0.35">
      <c r="A12" s="19">
        <v>7</v>
      </c>
      <c r="B12" s="13" t="s">
        <v>89</v>
      </c>
      <c r="C12" s="20"/>
      <c r="D12" s="20"/>
      <c r="E12" s="20"/>
      <c r="F12" s="99"/>
    </row>
    <row r="13" spans="1:6" ht="26" x14ac:dyDescent="0.35">
      <c r="A13" s="19">
        <v>8</v>
      </c>
      <c r="B13" s="13" t="s">
        <v>31</v>
      </c>
      <c r="C13" s="20"/>
      <c r="D13" s="20"/>
      <c r="E13" s="20"/>
      <c r="F13" s="99"/>
    </row>
    <row r="14" spans="1:6" s="7" customFormat="1" ht="21" customHeight="1" x14ac:dyDescent="0.35">
      <c r="A14" s="4" t="s">
        <v>35</v>
      </c>
      <c r="B14" s="4"/>
      <c r="C14" s="5">
        <f>SUM(C15:C23)</f>
        <v>0</v>
      </c>
      <c r="D14" s="5">
        <f t="shared" ref="D14:E14" si="0">SUM(D15:D23)</f>
        <v>0</v>
      </c>
      <c r="E14" s="5">
        <f t="shared" si="0"/>
        <v>0</v>
      </c>
      <c r="F14" s="6" t="e">
        <f>E14/E$24</f>
        <v>#DIV/0!</v>
      </c>
    </row>
    <row r="15" spans="1:6" ht="21" customHeight="1" x14ac:dyDescent="0.35">
      <c r="A15" s="19">
        <v>9</v>
      </c>
      <c r="B15" s="18" t="s">
        <v>36</v>
      </c>
      <c r="C15" s="20"/>
      <c r="D15" s="20"/>
      <c r="E15" s="20"/>
      <c r="F15" s="100" t="e">
        <f>E15/E$14</f>
        <v>#DIV/0!</v>
      </c>
    </row>
    <row r="16" spans="1:6" ht="42.5" customHeight="1" x14ac:dyDescent="0.35">
      <c r="A16" s="19">
        <v>10</v>
      </c>
      <c r="B16" s="18" t="s">
        <v>37</v>
      </c>
      <c r="C16" s="20"/>
      <c r="D16" s="20"/>
      <c r="E16" s="20"/>
      <c r="F16" s="100" t="e">
        <f t="shared" ref="F16:F23" si="1">E16/E$14</f>
        <v>#DIV/0!</v>
      </c>
    </row>
    <row r="17" spans="1:6" ht="21" customHeight="1" x14ac:dyDescent="0.35">
      <c r="A17" s="19">
        <v>11</v>
      </c>
      <c r="B17" s="18" t="s">
        <v>46</v>
      </c>
      <c r="C17" s="20"/>
      <c r="D17" s="20"/>
      <c r="E17" s="20"/>
      <c r="F17" s="100" t="e">
        <f t="shared" si="1"/>
        <v>#DIV/0!</v>
      </c>
    </row>
    <row r="18" spans="1:6" ht="21" customHeight="1" x14ac:dyDescent="0.35">
      <c r="A18" s="19">
        <v>12</v>
      </c>
      <c r="B18" s="18" t="s">
        <v>47</v>
      </c>
      <c r="C18" s="20"/>
      <c r="D18" s="20"/>
      <c r="E18" s="20"/>
      <c r="F18" s="100" t="e">
        <f t="shared" si="1"/>
        <v>#DIV/0!</v>
      </c>
    </row>
    <row r="19" spans="1:6" ht="21" customHeight="1" x14ac:dyDescent="0.35">
      <c r="A19" s="19">
        <v>13</v>
      </c>
      <c r="B19" s="18" t="s">
        <v>51</v>
      </c>
      <c r="C19" s="20"/>
      <c r="D19" s="20"/>
      <c r="E19" s="20"/>
      <c r="F19" s="100" t="e">
        <f t="shared" si="1"/>
        <v>#DIV/0!</v>
      </c>
    </row>
    <row r="20" spans="1:6" ht="21" customHeight="1" x14ac:dyDescent="0.35">
      <c r="A20" s="19">
        <v>14</v>
      </c>
      <c r="B20" s="18" t="s">
        <v>54</v>
      </c>
      <c r="C20" s="20"/>
      <c r="D20" s="20"/>
      <c r="E20" s="20"/>
      <c r="F20" s="100" t="e">
        <f t="shared" si="1"/>
        <v>#DIV/0!</v>
      </c>
    </row>
    <row r="21" spans="1:6" ht="21" customHeight="1" x14ac:dyDescent="0.35">
      <c r="A21" s="19">
        <v>15</v>
      </c>
      <c r="B21" s="18" t="s">
        <v>55</v>
      </c>
      <c r="C21" s="20"/>
      <c r="D21" s="20"/>
      <c r="E21" s="20"/>
      <c r="F21" s="100" t="e">
        <f t="shared" si="1"/>
        <v>#DIV/0!</v>
      </c>
    </row>
    <row r="22" spans="1:6" ht="21" customHeight="1" x14ac:dyDescent="0.35">
      <c r="A22" s="19">
        <v>16</v>
      </c>
      <c r="B22" s="18" t="s">
        <v>56</v>
      </c>
      <c r="C22" s="14"/>
      <c r="D22" s="14"/>
      <c r="E22" s="14"/>
      <c r="F22" s="100" t="e">
        <f t="shared" si="1"/>
        <v>#DIV/0!</v>
      </c>
    </row>
    <row r="23" spans="1:6" ht="21" customHeight="1" x14ac:dyDescent="0.35">
      <c r="A23" s="19">
        <v>17</v>
      </c>
      <c r="B23" s="18" t="s">
        <v>57</v>
      </c>
      <c r="C23" s="14"/>
      <c r="D23" s="14"/>
      <c r="E23" s="14"/>
      <c r="F23" s="100" t="e">
        <f t="shared" si="1"/>
        <v>#DIV/0!</v>
      </c>
    </row>
    <row r="24" spans="1:6" s="7" customFormat="1" ht="21" customHeight="1" x14ac:dyDescent="0.35">
      <c r="A24" s="4" t="s">
        <v>58</v>
      </c>
      <c r="B24" s="4"/>
      <c r="C24" s="5">
        <f>C5+C14</f>
        <v>0</v>
      </c>
      <c r="D24" s="5">
        <f>D5+D14</f>
        <v>0</v>
      </c>
      <c r="E24" s="5">
        <f>E5+E14</f>
        <v>0</v>
      </c>
      <c r="F24" s="101" t="e">
        <f>F5+F14</f>
        <v>#DIV/0!</v>
      </c>
    </row>
  </sheetData>
  <mergeCells count="3">
    <mergeCell ref="A5:B5"/>
    <mergeCell ref="A14:B14"/>
    <mergeCell ref="A24:B24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63DB-0DAC-43E8-BAC3-771E36BA3CAD}">
  <sheetPr>
    <pageSetUpPr fitToPage="1"/>
  </sheetPr>
  <dimension ref="A1:R55"/>
  <sheetViews>
    <sheetView showGridLines="0" tabSelected="1" topLeftCell="B1" zoomScaleNormal="100" workbookViewId="0">
      <pane ySplit="5" topLeftCell="A16" activePane="bottomLeft" state="frozen"/>
      <selection activeCell="E13" sqref="E13"/>
      <selection pane="bottomLeft" activeCell="F20" sqref="F20"/>
    </sheetView>
  </sheetViews>
  <sheetFormatPr defaultColWidth="12.81640625" defaultRowHeight="12" x14ac:dyDescent="0.3"/>
  <cols>
    <col min="1" max="1" width="3.81640625" style="39" customWidth="1"/>
    <col min="2" max="2" width="32.1796875" style="38" customWidth="1"/>
    <col min="3" max="3" width="2" style="38" customWidth="1"/>
    <col min="4" max="5" width="15.1796875" style="39" bestFit="1" customWidth="1"/>
    <col min="6" max="6" width="15.36328125" style="39" bestFit="1" customWidth="1"/>
    <col min="7" max="7" width="16.81640625" style="39" bestFit="1" customWidth="1"/>
    <col min="8" max="8" width="15.36328125" style="39" bestFit="1" customWidth="1"/>
    <col min="9" max="9" width="16.1796875" style="39" bestFit="1" customWidth="1"/>
    <col min="10" max="10" width="16.08984375" style="39" bestFit="1" customWidth="1"/>
    <col min="11" max="12" width="16.81640625" style="39" bestFit="1" customWidth="1"/>
    <col min="13" max="13" width="12.81640625" style="39"/>
    <col min="14" max="14" width="15.36328125" style="39" bestFit="1" customWidth="1"/>
    <col min="15" max="16384" width="12.81640625" style="39"/>
  </cols>
  <sheetData>
    <row r="1" spans="1:14" ht="14" x14ac:dyDescent="0.3">
      <c r="A1" s="1" t="s">
        <v>65</v>
      </c>
    </row>
    <row r="3" spans="1:14" ht="13" x14ac:dyDescent="0.3">
      <c r="A3" s="40" t="s">
        <v>1</v>
      </c>
      <c r="B3" s="41" t="s">
        <v>66</v>
      </c>
      <c r="C3" s="42"/>
      <c r="D3" s="43" t="s">
        <v>62</v>
      </c>
      <c r="E3" s="43"/>
      <c r="F3" s="43"/>
      <c r="G3" s="43"/>
      <c r="H3" s="43"/>
      <c r="I3" s="43"/>
      <c r="J3" s="43"/>
      <c r="K3" s="43"/>
      <c r="L3" s="43"/>
    </row>
    <row r="4" spans="1:14" ht="13" x14ac:dyDescent="0.3">
      <c r="A4" s="40"/>
      <c r="B4" s="44"/>
      <c r="C4" s="45"/>
      <c r="D4" s="43" t="s">
        <v>13</v>
      </c>
      <c r="E4" s="43"/>
      <c r="F4" s="43"/>
      <c r="G4" s="43"/>
      <c r="H4" s="43"/>
      <c r="I4" s="43"/>
      <c r="J4" s="43"/>
      <c r="K4" s="43" t="s">
        <v>67</v>
      </c>
      <c r="L4" s="43" t="s">
        <v>68</v>
      </c>
    </row>
    <row r="5" spans="1:14" ht="65" x14ac:dyDescent="0.3">
      <c r="A5" s="40"/>
      <c r="B5" s="46"/>
      <c r="C5" s="47"/>
      <c r="D5" s="48" t="s">
        <v>69</v>
      </c>
      <c r="E5" s="49" t="s">
        <v>15</v>
      </c>
      <c r="F5" s="49" t="s">
        <v>70</v>
      </c>
      <c r="G5" s="49" t="s">
        <v>18</v>
      </c>
      <c r="H5" s="49" t="s">
        <v>71</v>
      </c>
      <c r="I5" s="50" t="s">
        <v>72</v>
      </c>
      <c r="J5" s="51" t="s">
        <v>73</v>
      </c>
      <c r="K5" s="43"/>
      <c r="L5" s="43"/>
    </row>
    <row r="6" spans="1:14" ht="13" x14ac:dyDescent="0.3">
      <c r="A6" s="52" t="s">
        <v>7</v>
      </c>
      <c r="B6" s="53" t="s">
        <v>8</v>
      </c>
      <c r="C6" s="54"/>
      <c r="D6" s="52" t="s">
        <v>9</v>
      </c>
      <c r="E6" s="52" t="s">
        <v>10</v>
      </c>
      <c r="F6" s="52" t="s">
        <v>11</v>
      </c>
      <c r="G6" s="52" t="s">
        <v>12</v>
      </c>
      <c r="H6" s="52" t="s">
        <v>74</v>
      </c>
      <c r="I6" s="52" t="s">
        <v>75</v>
      </c>
      <c r="J6" s="52" t="s">
        <v>76</v>
      </c>
      <c r="K6" s="52" t="s">
        <v>77</v>
      </c>
      <c r="L6" s="52" t="s">
        <v>78</v>
      </c>
    </row>
    <row r="7" spans="1:14" ht="14.5" x14ac:dyDescent="0.3">
      <c r="A7" s="55">
        <v>1</v>
      </c>
      <c r="B7" s="56" t="s">
        <v>79</v>
      </c>
      <c r="C7" s="57"/>
      <c r="D7" s="58"/>
      <c r="E7" s="58"/>
      <c r="F7" s="58"/>
      <c r="G7" s="58"/>
      <c r="H7" s="58"/>
      <c r="I7" s="58"/>
      <c r="J7" s="59"/>
      <c r="K7" s="60"/>
      <c r="L7" s="61">
        <f>SUM(D7:K7)</f>
        <v>0</v>
      </c>
    </row>
    <row r="8" spans="1:14" ht="27" customHeight="1" x14ac:dyDescent="0.3">
      <c r="A8" s="55">
        <v>2</v>
      </c>
      <c r="B8" s="56" t="s">
        <v>80</v>
      </c>
      <c r="C8" s="57"/>
      <c r="D8" s="58"/>
      <c r="E8" s="58"/>
      <c r="F8" s="58"/>
      <c r="G8" s="58"/>
      <c r="H8" s="58"/>
      <c r="I8" s="58"/>
      <c r="J8" s="58"/>
      <c r="K8" s="60"/>
      <c r="L8" s="61">
        <f t="shared" ref="L8:L14" si="0">SUM(D8:K8)</f>
        <v>0</v>
      </c>
    </row>
    <row r="9" spans="1:14" ht="27" customHeight="1" x14ac:dyDescent="0.3">
      <c r="A9" s="55">
        <v>3</v>
      </c>
      <c r="B9" s="56" t="s">
        <v>81</v>
      </c>
      <c r="C9" s="57"/>
      <c r="D9" s="58"/>
      <c r="E9" s="58"/>
      <c r="F9" s="58"/>
      <c r="G9" s="58"/>
      <c r="H9" s="58"/>
      <c r="I9" s="58"/>
      <c r="J9" s="58"/>
      <c r="K9" s="60"/>
      <c r="L9" s="61">
        <f t="shared" si="0"/>
        <v>0</v>
      </c>
    </row>
    <row r="10" spans="1:14" ht="27" customHeight="1" x14ac:dyDescent="0.3">
      <c r="A10" s="55">
        <v>4</v>
      </c>
      <c r="B10" s="56" t="s">
        <v>82</v>
      </c>
      <c r="C10" s="57"/>
      <c r="D10" s="58"/>
      <c r="E10" s="58"/>
      <c r="F10" s="58"/>
      <c r="G10" s="58"/>
      <c r="H10" s="58"/>
      <c r="I10" s="58"/>
      <c r="J10" s="58"/>
      <c r="K10" s="60"/>
      <c r="L10" s="61">
        <f t="shared" si="0"/>
        <v>0</v>
      </c>
    </row>
    <row r="11" spans="1:14" ht="27" customHeight="1" x14ac:dyDescent="0.3">
      <c r="A11" s="55">
        <v>5</v>
      </c>
      <c r="B11" s="56" t="s">
        <v>83</v>
      </c>
      <c r="C11" s="57"/>
      <c r="D11" s="58"/>
      <c r="E11" s="58"/>
      <c r="F11" s="58"/>
      <c r="G11" s="58"/>
      <c r="H11" s="58"/>
      <c r="I11" s="58"/>
      <c r="J11" s="58"/>
      <c r="K11" s="60"/>
      <c r="L11" s="61">
        <f t="shared" si="0"/>
        <v>0</v>
      </c>
    </row>
    <row r="12" spans="1:14" ht="13" x14ac:dyDescent="0.3">
      <c r="A12" s="55">
        <v>6</v>
      </c>
      <c r="B12" s="56" t="s">
        <v>84</v>
      </c>
      <c r="C12" s="57"/>
      <c r="D12" s="58"/>
      <c r="E12" s="58"/>
      <c r="F12" s="58"/>
      <c r="G12" s="58"/>
      <c r="H12" s="58"/>
      <c r="I12" s="58"/>
      <c r="J12" s="58"/>
      <c r="K12" s="60"/>
      <c r="L12" s="61">
        <f t="shared" si="0"/>
        <v>0</v>
      </c>
    </row>
    <row r="13" spans="1:14" ht="13" x14ac:dyDescent="0.3">
      <c r="A13" s="55">
        <v>7</v>
      </c>
      <c r="B13" s="56" t="s">
        <v>85</v>
      </c>
      <c r="C13" s="57"/>
      <c r="D13" s="58"/>
      <c r="E13" s="58"/>
      <c r="F13" s="58"/>
      <c r="G13" s="58"/>
      <c r="H13" s="58"/>
      <c r="I13" s="58"/>
      <c r="J13" s="58"/>
      <c r="K13" s="60"/>
      <c r="L13" s="61">
        <f t="shared" si="0"/>
        <v>0</v>
      </c>
    </row>
    <row r="14" spans="1:14" ht="13" x14ac:dyDescent="0.3">
      <c r="A14" s="55">
        <v>8</v>
      </c>
      <c r="B14" s="56" t="s">
        <v>86</v>
      </c>
      <c r="C14" s="57"/>
      <c r="D14" s="58"/>
      <c r="E14" s="58"/>
      <c r="F14" s="58"/>
      <c r="G14" s="58"/>
      <c r="H14" s="58"/>
      <c r="I14" s="58"/>
      <c r="J14" s="58"/>
      <c r="K14" s="62"/>
      <c r="L14" s="61">
        <f t="shared" si="0"/>
        <v>0</v>
      </c>
    </row>
    <row r="15" spans="1:14" ht="21" customHeight="1" x14ac:dyDescent="0.3">
      <c r="A15" s="63"/>
      <c r="B15" s="64" t="s">
        <v>68</v>
      </c>
      <c r="C15" s="65"/>
      <c r="D15" s="66">
        <f>SUM(D7:D14)</f>
        <v>0</v>
      </c>
      <c r="E15" s="67">
        <f t="shared" ref="E15:L15" si="1">SUM(E7:E14)</f>
        <v>0</v>
      </c>
      <c r="F15" s="67">
        <f t="shared" si="1"/>
        <v>0</v>
      </c>
      <c r="G15" s="67">
        <f t="shared" si="1"/>
        <v>0</v>
      </c>
      <c r="H15" s="67">
        <f t="shared" si="1"/>
        <v>0</v>
      </c>
      <c r="I15" s="67">
        <f t="shared" si="1"/>
        <v>0</v>
      </c>
      <c r="J15" s="67">
        <f>SUM(J7:J14)</f>
        <v>0</v>
      </c>
      <c r="K15" s="67">
        <f>SUM(K7:K14)</f>
        <v>0</v>
      </c>
      <c r="L15" s="67">
        <f t="shared" si="1"/>
        <v>0</v>
      </c>
      <c r="N15" s="39">
        <f>302832500+113409500+715369080+646226280</f>
        <v>1777837360</v>
      </c>
    </row>
    <row r="16" spans="1:14" ht="21" customHeight="1" x14ac:dyDescent="0.3">
      <c r="B16" s="68"/>
      <c r="C16" s="68"/>
      <c r="D16" s="69"/>
      <c r="E16" s="69"/>
      <c r="F16" s="69"/>
      <c r="G16" s="69"/>
      <c r="H16" s="69"/>
      <c r="I16" s="69"/>
      <c r="J16" s="69"/>
      <c r="K16" s="69"/>
      <c r="L16" s="69"/>
    </row>
    <row r="17" spans="1:18" ht="13.25" customHeight="1" x14ac:dyDescent="0.3">
      <c r="B17" s="70"/>
      <c r="C17" s="70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</row>
    <row r="18" spans="1:18" ht="13" x14ac:dyDescent="0.3">
      <c r="A18" s="72" t="s">
        <v>1</v>
      </c>
      <c r="B18" s="73" t="s">
        <v>66</v>
      </c>
      <c r="C18" s="74"/>
      <c r="D18" s="75" t="s">
        <v>61</v>
      </c>
      <c r="E18" s="75"/>
      <c r="F18" s="75"/>
      <c r="G18" s="75"/>
      <c r="H18" s="75"/>
      <c r="I18" s="75"/>
      <c r="J18" s="75"/>
      <c r="K18" s="75"/>
      <c r="L18" s="75"/>
    </row>
    <row r="19" spans="1:18" ht="13" x14ac:dyDescent="0.3">
      <c r="A19" s="72"/>
      <c r="B19" s="76"/>
      <c r="C19" s="77"/>
      <c r="D19" s="75" t="s">
        <v>13</v>
      </c>
      <c r="E19" s="75"/>
      <c r="F19" s="75"/>
      <c r="G19" s="75"/>
      <c r="H19" s="75"/>
      <c r="I19" s="75"/>
      <c r="J19" s="75"/>
      <c r="K19" s="75" t="s">
        <v>67</v>
      </c>
      <c r="L19" s="75" t="s">
        <v>68</v>
      </c>
    </row>
    <row r="20" spans="1:18" ht="52" x14ac:dyDescent="0.3">
      <c r="A20" s="72"/>
      <c r="B20" s="78"/>
      <c r="C20" s="79"/>
      <c r="D20" s="80" t="s">
        <v>87</v>
      </c>
      <c r="E20" s="81" t="s">
        <v>15</v>
      </c>
      <c r="F20" s="81" t="s">
        <v>70</v>
      </c>
      <c r="G20" s="81" t="s">
        <v>18</v>
      </c>
      <c r="H20" s="81" t="s">
        <v>88</v>
      </c>
      <c r="I20" s="82" t="s">
        <v>89</v>
      </c>
      <c r="J20" s="83" t="s">
        <v>73</v>
      </c>
      <c r="K20" s="75"/>
      <c r="L20" s="75"/>
    </row>
    <row r="21" spans="1:18" ht="13" x14ac:dyDescent="0.3">
      <c r="A21" s="84" t="s">
        <v>7</v>
      </c>
      <c r="B21" s="85" t="s">
        <v>8</v>
      </c>
      <c r="C21" s="86"/>
      <c r="D21" s="84" t="s">
        <v>90</v>
      </c>
      <c r="E21" s="84" t="s">
        <v>91</v>
      </c>
      <c r="F21" s="84" t="s">
        <v>92</v>
      </c>
      <c r="G21" s="84" t="s">
        <v>93</v>
      </c>
      <c r="H21" s="84" t="s">
        <v>94</v>
      </c>
      <c r="I21" s="84" t="s">
        <v>95</v>
      </c>
      <c r="J21" s="84" t="s">
        <v>96</v>
      </c>
      <c r="K21" s="84" t="s">
        <v>97</v>
      </c>
      <c r="L21" s="84" t="s">
        <v>98</v>
      </c>
    </row>
    <row r="22" spans="1:18" ht="21" customHeight="1" x14ac:dyDescent="0.3">
      <c r="A22" s="55">
        <v>1</v>
      </c>
      <c r="B22" s="56" t="s">
        <v>79</v>
      </c>
      <c r="C22" s="57"/>
      <c r="D22" s="60"/>
      <c r="E22" s="60"/>
      <c r="F22" s="60"/>
      <c r="G22" s="60"/>
      <c r="H22" s="60"/>
      <c r="I22" s="60"/>
      <c r="J22" s="60"/>
      <c r="K22" s="60"/>
      <c r="L22" s="61">
        <f>SUM(D22:K22)</f>
        <v>0</v>
      </c>
    </row>
    <row r="23" spans="1:18" ht="28.25" customHeight="1" x14ac:dyDescent="0.3">
      <c r="A23" s="55">
        <v>2</v>
      </c>
      <c r="B23" s="56" t="s">
        <v>80</v>
      </c>
      <c r="C23" s="57"/>
      <c r="D23" s="60"/>
      <c r="E23" s="60"/>
      <c r="F23" s="60"/>
      <c r="G23" s="60"/>
      <c r="H23" s="60"/>
      <c r="I23" s="60"/>
      <c r="J23" s="60"/>
      <c r="K23" s="60"/>
      <c r="L23" s="61">
        <f t="shared" ref="L23:L29" si="2">SUM(D23:K23)</f>
        <v>0</v>
      </c>
    </row>
    <row r="24" spans="1:18" ht="28.25" customHeight="1" x14ac:dyDescent="0.3">
      <c r="A24" s="55">
        <v>3</v>
      </c>
      <c r="B24" s="56" t="s">
        <v>81</v>
      </c>
      <c r="C24" s="57"/>
      <c r="D24" s="60"/>
      <c r="E24" s="60"/>
      <c r="F24" s="60"/>
      <c r="G24" s="60"/>
      <c r="H24" s="60"/>
      <c r="I24" s="60"/>
      <c r="J24" s="60"/>
      <c r="K24" s="60"/>
      <c r="L24" s="61">
        <f t="shared" si="2"/>
        <v>0</v>
      </c>
    </row>
    <row r="25" spans="1:18" ht="28.25" customHeight="1" x14ac:dyDescent="0.3">
      <c r="A25" s="55">
        <v>4</v>
      </c>
      <c r="B25" s="56" t="s">
        <v>82</v>
      </c>
      <c r="C25" s="57"/>
      <c r="D25" s="60"/>
      <c r="E25" s="60"/>
      <c r="F25" s="60"/>
      <c r="G25" s="60"/>
      <c r="H25" s="60"/>
      <c r="I25" s="60"/>
      <c r="J25" s="60"/>
      <c r="K25" s="60"/>
      <c r="L25" s="61">
        <f t="shared" si="2"/>
        <v>0</v>
      </c>
    </row>
    <row r="26" spans="1:18" ht="28.25" customHeight="1" x14ac:dyDescent="0.3">
      <c r="A26" s="55">
        <v>5</v>
      </c>
      <c r="B26" s="56" t="s">
        <v>83</v>
      </c>
      <c r="C26" s="57"/>
      <c r="D26" s="60"/>
      <c r="E26" s="60"/>
      <c r="F26" s="60"/>
      <c r="G26" s="60"/>
      <c r="H26" s="60"/>
      <c r="I26" s="60"/>
      <c r="J26" s="60"/>
      <c r="K26" s="60"/>
      <c r="L26" s="61">
        <f t="shared" si="2"/>
        <v>0</v>
      </c>
    </row>
    <row r="27" spans="1:18" ht="21" customHeight="1" x14ac:dyDescent="0.3">
      <c r="A27" s="55">
        <v>6</v>
      </c>
      <c r="B27" s="56" t="s">
        <v>84</v>
      </c>
      <c r="C27" s="57"/>
      <c r="D27" s="60"/>
      <c r="E27" s="60"/>
      <c r="F27" s="60"/>
      <c r="G27" s="60"/>
      <c r="H27" s="60"/>
      <c r="I27" s="60"/>
      <c r="J27" s="60"/>
      <c r="K27" s="60"/>
      <c r="L27" s="61">
        <f t="shared" si="2"/>
        <v>0</v>
      </c>
    </row>
    <row r="28" spans="1:18" ht="21" customHeight="1" x14ac:dyDescent="0.3">
      <c r="A28" s="55">
        <v>7</v>
      </c>
      <c r="B28" s="56" t="s">
        <v>85</v>
      </c>
      <c r="C28" s="57"/>
      <c r="D28" s="60"/>
      <c r="E28" s="60"/>
      <c r="F28" s="60"/>
      <c r="G28" s="60"/>
      <c r="H28" s="60"/>
      <c r="I28" s="60"/>
      <c r="J28" s="60"/>
      <c r="K28" s="60"/>
      <c r="L28" s="61">
        <f t="shared" si="2"/>
        <v>0</v>
      </c>
    </row>
    <row r="29" spans="1:18" ht="21" customHeight="1" x14ac:dyDescent="0.3">
      <c r="A29" s="55">
        <v>8</v>
      </c>
      <c r="B29" s="56" t="s">
        <v>86</v>
      </c>
      <c r="C29" s="57"/>
      <c r="D29" s="62"/>
      <c r="E29" s="62"/>
      <c r="F29" s="62"/>
      <c r="G29" s="62"/>
      <c r="H29" s="62"/>
      <c r="I29" s="62"/>
      <c r="J29" s="62"/>
      <c r="K29" s="62"/>
      <c r="L29" s="61">
        <f t="shared" si="2"/>
        <v>0</v>
      </c>
    </row>
    <row r="30" spans="1:18" ht="21" customHeight="1" x14ac:dyDescent="0.3">
      <c r="A30" s="63"/>
      <c r="B30" s="64" t="s">
        <v>68</v>
      </c>
      <c r="C30" s="65"/>
      <c r="D30" s="67">
        <f>SUM(D22:D29)</f>
        <v>0</v>
      </c>
      <c r="E30" s="67">
        <f t="shared" ref="E30:L30" si="3">SUM(E22:E29)</f>
        <v>0</v>
      </c>
      <c r="F30" s="67">
        <f t="shared" si="3"/>
        <v>0</v>
      </c>
      <c r="G30" s="67">
        <f t="shared" si="3"/>
        <v>0</v>
      </c>
      <c r="H30" s="67">
        <f t="shared" si="3"/>
        <v>0</v>
      </c>
      <c r="I30" s="67">
        <f t="shared" si="3"/>
        <v>0</v>
      </c>
      <c r="J30" s="67">
        <f t="shared" si="3"/>
        <v>0</v>
      </c>
      <c r="K30" s="67">
        <f t="shared" si="3"/>
        <v>0</v>
      </c>
      <c r="L30" s="67">
        <f t="shared" si="3"/>
        <v>0</v>
      </c>
    </row>
    <row r="31" spans="1:18" ht="13" x14ac:dyDescent="0.3">
      <c r="B31" s="70"/>
      <c r="C31" s="70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</row>
    <row r="32" spans="1:18" ht="13" x14ac:dyDescent="0.3">
      <c r="B32" s="70"/>
      <c r="C32" s="70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</row>
    <row r="33" spans="1:18" ht="13" x14ac:dyDescent="0.3">
      <c r="A33" s="72" t="s">
        <v>1</v>
      </c>
      <c r="B33" s="73" t="s">
        <v>66</v>
      </c>
      <c r="C33" s="74"/>
      <c r="D33" s="75" t="s">
        <v>59</v>
      </c>
      <c r="E33" s="75"/>
      <c r="F33" s="75"/>
      <c r="G33" s="75"/>
      <c r="H33" s="75"/>
      <c r="I33" s="75"/>
      <c r="J33" s="75"/>
      <c r="K33" s="75"/>
      <c r="L33" s="75"/>
      <c r="M33" s="75"/>
      <c r="N33" s="71"/>
      <c r="O33" s="71"/>
      <c r="P33" s="71"/>
      <c r="Q33" s="71"/>
      <c r="R33" s="71"/>
    </row>
    <row r="34" spans="1:18" ht="13" x14ac:dyDescent="0.3">
      <c r="A34" s="72"/>
      <c r="B34" s="76"/>
      <c r="C34" s="77"/>
      <c r="D34" s="75" t="s">
        <v>13</v>
      </c>
      <c r="E34" s="75"/>
      <c r="F34" s="75"/>
      <c r="G34" s="75"/>
      <c r="H34" s="75"/>
      <c r="I34" s="75"/>
      <c r="J34" s="75"/>
      <c r="K34" s="75" t="s">
        <v>67</v>
      </c>
      <c r="L34" s="75" t="s">
        <v>68</v>
      </c>
      <c r="M34" s="75" t="s">
        <v>99</v>
      </c>
      <c r="N34" s="71"/>
      <c r="O34" s="71"/>
      <c r="P34" s="71"/>
      <c r="Q34" s="71"/>
      <c r="R34" s="71"/>
    </row>
    <row r="35" spans="1:18" ht="52" x14ac:dyDescent="0.3">
      <c r="A35" s="72"/>
      <c r="B35" s="78"/>
      <c r="C35" s="79"/>
      <c r="D35" s="80" t="s">
        <v>87</v>
      </c>
      <c r="E35" s="81" t="s">
        <v>15</v>
      </c>
      <c r="F35" s="81" t="s">
        <v>70</v>
      </c>
      <c r="G35" s="81" t="s">
        <v>18</v>
      </c>
      <c r="H35" s="81" t="s">
        <v>88</v>
      </c>
      <c r="I35" s="82" t="s">
        <v>89</v>
      </c>
      <c r="J35" s="83" t="s">
        <v>73</v>
      </c>
      <c r="K35" s="75"/>
      <c r="L35" s="75"/>
      <c r="M35" s="75"/>
      <c r="N35" s="71"/>
      <c r="O35" s="71"/>
      <c r="P35" s="71"/>
      <c r="Q35" s="71"/>
      <c r="R35" s="71"/>
    </row>
    <row r="36" spans="1:18" ht="13" x14ac:dyDescent="0.3">
      <c r="A36" s="84" t="s">
        <v>7</v>
      </c>
      <c r="B36" s="85" t="s">
        <v>8</v>
      </c>
      <c r="C36" s="86"/>
      <c r="D36" s="84" t="s">
        <v>100</v>
      </c>
      <c r="E36" s="84" t="s">
        <v>101</v>
      </c>
      <c r="F36" s="84" t="s">
        <v>102</v>
      </c>
      <c r="G36" s="84" t="s">
        <v>103</v>
      </c>
      <c r="H36" s="84" t="s">
        <v>104</v>
      </c>
      <c r="I36" s="84" t="s">
        <v>105</v>
      </c>
      <c r="J36" s="84" t="s">
        <v>106</v>
      </c>
      <c r="K36" s="84" t="s">
        <v>107</v>
      </c>
      <c r="L36" s="84" t="s">
        <v>108</v>
      </c>
      <c r="M36" s="84" t="s">
        <v>109</v>
      </c>
      <c r="N36" s="71"/>
      <c r="O36" s="71"/>
      <c r="P36" s="71"/>
      <c r="Q36" s="71"/>
      <c r="R36" s="71"/>
    </row>
    <row r="37" spans="1:18" ht="21" customHeight="1" x14ac:dyDescent="0.3">
      <c r="A37" s="55">
        <v>1</v>
      </c>
      <c r="B37" s="56" t="s">
        <v>79</v>
      </c>
      <c r="C37" s="57"/>
      <c r="D37" s="87"/>
      <c r="E37" s="87"/>
      <c r="F37" s="87"/>
      <c r="G37" s="88"/>
      <c r="H37" s="87"/>
      <c r="I37" s="87"/>
      <c r="J37" s="87"/>
      <c r="K37" s="87"/>
      <c r="L37" s="60">
        <f>SUM(D37:K37)</f>
        <v>0</v>
      </c>
      <c r="M37" s="89" t="e">
        <f>L37/L$45</f>
        <v>#DIV/0!</v>
      </c>
      <c r="N37" s="71"/>
      <c r="O37" s="71"/>
      <c r="P37" s="71"/>
      <c r="Q37" s="71"/>
      <c r="R37" s="71"/>
    </row>
    <row r="38" spans="1:18" ht="30" customHeight="1" x14ac:dyDescent="0.3">
      <c r="A38" s="55">
        <v>2</v>
      </c>
      <c r="B38" s="56" t="s">
        <v>80</v>
      </c>
      <c r="C38" s="57"/>
      <c r="D38" s="90"/>
      <c r="E38" s="87"/>
      <c r="F38" s="87"/>
      <c r="G38" s="87"/>
      <c r="H38" s="87"/>
      <c r="I38" s="87"/>
      <c r="J38" s="87"/>
      <c r="K38" s="87"/>
      <c r="L38" s="60">
        <f t="shared" ref="L38:L44" si="4">SUM(D38:K38)</f>
        <v>0</v>
      </c>
      <c r="M38" s="89" t="e">
        <f t="shared" ref="M38:M44" si="5">L38/L$45</f>
        <v>#DIV/0!</v>
      </c>
      <c r="N38" s="71"/>
      <c r="O38" s="71"/>
      <c r="P38" s="71"/>
      <c r="Q38" s="71"/>
      <c r="R38" s="71"/>
    </row>
    <row r="39" spans="1:18" ht="30" customHeight="1" x14ac:dyDescent="0.3">
      <c r="A39" s="55">
        <v>3</v>
      </c>
      <c r="B39" s="56" t="s">
        <v>81</v>
      </c>
      <c r="C39" s="57"/>
      <c r="D39" s="90"/>
      <c r="E39" s="87"/>
      <c r="F39" s="91"/>
      <c r="G39" s="91"/>
      <c r="H39" s="91"/>
      <c r="I39" s="91"/>
      <c r="J39" s="91"/>
      <c r="K39" s="87"/>
      <c r="L39" s="60">
        <f t="shared" si="4"/>
        <v>0</v>
      </c>
      <c r="M39" s="89" t="e">
        <f t="shared" si="5"/>
        <v>#DIV/0!</v>
      </c>
      <c r="N39" s="71"/>
      <c r="O39" s="71"/>
      <c r="P39" s="71"/>
      <c r="Q39" s="71"/>
      <c r="R39" s="71"/>
    </row>
    <row r="40" spans="1:18" ht="30" customHeight="1" x14ac:dyDescent="0.3">
      <c r="A40" s="55">
        <v>4</v>
      </c>
      <c r="B40" s="56" t="s">
        <v>82</v>
      </c>
      <c r="C40" s="57"/>
      <c r="D40" s="87"/>
      <c r="E40" s="87"/>
      <c r="F40" s="91"/>
      <c r="G40" s="91"/>
      <c r="H40" s="91"/>
      <c r="I40" s="91"/>
      <c r="J40" s="91"/>
      <c r="K40" s="87"/>
      <c r="L40" s="60">
        <f t="shared" si="4"/>
        <v>0</v>
      </c>
      <c r="M40" s="89" t="e">
        <f t="shared" si="5"/>
        <v>#DIV/0!</v>
      </c>
      <c r="N40" s="71"/>
      <c r="O40" s="71"/>
      <c r="P40" s="71"/>
      <c r="Q40" s="71"/>
      <c r="R40" s="71"/>
    </row>
    <row r="41" spans="1:18" ht="30" customHeight="1" x14ac:dyDescent="0.3">
      <c r="A41" s="55">
        <v>5</v>
      </c>
      <c r="B41" s="56" t="s">
        <v>83</v>
      </c>
      <c r="C41" s="57"/>
      <c r="D41" s="91"/>
      <c r="E41" s="87"/>
      <c r="F41" s="91"/>
      <c r="G41" s="91"/>
      <c r="H41" s="91"/>
      <c r="I41" s="91"/>
      <c r="J41" s="91"/>
      <c r="K41" s="87"/>
      <c r="L41" s="60">
        <f t="shared" si="4"/>
        <v>0</v>
      </c>
      <c r="M41" s="89" t="e">
        <f t="shared" si="5"/>
        <v>#DIV/0!</v>
      </c>
      <c r="N41" s="71"/>
      <c r="O41" s="71"/>
      <c r="P41" s="71"/>
      <c r="Q41" s="71"/>
      <c r="R41" s="71"/>
    </row>
    <row r="42" spans="1:18" ht="21" customHeight="1" x14ac:dyDescent="0.3">
      <c r="A42" s="55">
        <v>6</v>
      </c>
      <c r="B42" s="56" t="s">
        <v>84</v>
      </c>
      <c r="C42" s="57"/>
      <c r="D42" s="91"/>
      <c r="E42" s="91"/>
      <c r="F42" s="91"/>
      <c r="G42" s="91"/>
      <c r="H42" s="91"/>
      <c r="I42" s="91"/>
      <c r="J42" s="91"/>
      <c r="K42" s="87"/>
      <c r="L42" s="60">
        <f t="shared" si="4"/>
        <v>0</v>
      </c>
      <c r="M42" s="89" t="e">
        <f t="shared" si="5"/>
        <v>#DIV/0!</v>
      </c>
      <c r="N42" s="71"/>
      <c r="O42" s="71"/>
      <c r="P42" s="71"/>
      <c r="Q42" s="71"/>
      <c r="R42" s="71"/>
    </row>
    <row r="43" spans="1:18" ht="21" customHeight="1" x14ac:dyDescent="0.3">
      <c r="A43" s="55">
        <v>7</v>
      </c>
      <c r="B43" s="56" t="s">
        <v>85</v>
      </c>
      <c r="C43" s="57"/>
      <c r="D43" s="91"/>
      <c r="E43" s="91"/>
      <c r="F43" s="91"/>
      <c r="G43" s="91"/>
      <c r="H43" s="91"/>
      <c r="I43" s="91"/>
      <c r="J43" s="91"/>
      <c r="K43" s="87"/>
      <c r="L43" s="60">
        <f t="shared" si="4"/>
        <v>0</v>
      </c>
      <c r="M43" s="89" t="e">
        <f t="shared" si="5"/>
        <v>#DIV/0!</v>
      </c>
      <c r="N43" s="71"/>
      <c r="O43" s="71"/>
      <c r="P43" s="71"/>
      <c r="Q43" s="71"/>
      <c r="R43" s="71"/>
    </row>
    <row r="44" spans="1:18" ht="21" customHeight="1" x14ac:dyDescent="0.3">
      <c r="A44" s="55">
        <v>8</v>
      </c>
      <c r="B44" s="56" t="s">
        <v>86</v>
      </c>
      <c r="C44" s="57"/>
      <c r="D44" s="87"/>
      <c r="E44" s="91"/>
      <c r="F44" s="87"/>
      <c r="G44" s="87"/>
      <c r="H44" s="87"/>
      <c r="I44" s="87"/>
      <c r="J44" s="87"/>
      <c r="K44" s="87"/>
      <c r="L44" s="60">
        <f t="shared" si="4"/>
        <v>0</v>
      </c>
      <c r="M44" s="89" t="e">
        <f t="shared" si="5"/>
        <v>#DIV/0!</v>
      </c>
      <c r="N44" s="71"/>
      <c r="O44" s="71"/>
      <c r="P44" s="71"/>
      <c r="Q44" s="71"/>
      <c r="R44" s="71"/>
    </row>
    <row r="45" spans="1:18" ht="21" customHeight="1" x14ac:dyDescent="0.3">
      <c r="A45" s="92" t="s">
        <v>68</v>
      </c>
      <c r="B45" s="64"/>
      <c r="C45" s="65"/>
      <c r="D45" s="67">
        <f>SUM(D37:D44)</f>
        <v>0</v>
      </c>
      <c r="E45" s="67">
        <f t="shared" ref="E45:K45" si="6">SUM(E37:E44)</f>
        <v>0</v>
      </c>
      <c r="F45" s="67">
        <f t="shared" si="6"/>
        <v>0</v>
      </c>
      <c r="G45" s="67">
        <f t="shared" si="6"/>
        <v>0</v>
      </c>
      <c r="H45" s="67">
        <f t="shared" si="6"/>
        <v>0</v>
      </c>
      <c r="I45" s="67">
        <f t="shared" si="6"/>
        <v>0</v>
      </c>
      <c r="J45" s="67">
        <f t="shared" si="6"/>
        <v>0</v>
      </c>
      <c r="K45" s="67">
        <f t="shared" si="6"/>
        <v>0</v>
      </c>
      <c r="L45" s="67">
        <f>SUM(L37:L44)</f>
        <v>0</v>
      </c>
      <c r="M45" s="66" t="e">
        <f>SUM(M37:M44)</f>
        <v>#DIV/0!</v>
      </c>
      <c r="N45" s="71"/>
      <c r="O45" s="71"/>
      <c r="P45" s="71"/>
      <c r="Q45" s="71"/>
      <c r="R45" s="71"/>
    </row>
    <row r="46" spans="1:18" ht="13" x14ac:dyDescent="0.3">
      <c r="P46" s="71"/>
    </row>
    <row r="47" spans="1:18" ht="15.75" customHeight="1" x14ac:dyDescent="0.3">
      <c r="B47" s="93" t="s">
        <v>110</v>
      </c>
      <c r="C47" s="93"/>
      <c r="D47" s="93"/>
      <c r="E47" s="93"/>
    </row>
    <row r="48" spans="1:18" ht="42" x14ac:dyDescent="0.3">
      <c r="B48" s="94" t="s">
        <v>111</v>
      </c>
      <c r="C48" s="95" t="s">
        <v>112</v>
      </c>
      <c r="D48" s="96" t="s">
        <v>113</v>
      </c>
      <c r="E48" s="97"/>
      <c r="F48" s="97"/>
      <c r="G48" s="97"/>
      <c r="H48" s="97"/>
      <c r="I48" s="97"/>
      <c r="J48" s="97"/>
      <c r="K48" s="97"/>
      <c r="L48" s="97"/>
      <c r="M48" s="98"/>
    </row>
    <row r="49" spans="2:13" ht="14" x14ac:dyDescent="0.3">
      <c r="B49" s="94" t="s">
        <v>15</v>
      </c>
      <c r="C49" s="95" t="s">
        <v>112</v>
      </c>
      <c r="D49" s="96" t="s">
        <v>114</v>
      </c>
      <c r="E49" s="97"/>
      <c r="F49" s="97"/>
      <c r="G49" s="97"/>
      <c r="H49" s="97"/>
      <c r="I49" s="97"/>
      <c r="J49" s="97"/>
      <c r="K49" s="97"/>
      <c r="L49" s="97"/>
      <c r="M49" s="98"/>
    </row>
    <row r="50" spans="2:13" ht="14" x14ac:dyDescent="0.3">
      <c r="B50" s="94" t="s">
        <v>17</v>
      </c>
      <c r="C50" s="95" t="s">
        <v>112</v>
      </c>
      <c r="D50" s="96" t="s">
        <v>115</v>
      </c>
      <c r="E50" s="97"/>
      <c r="F50" s="97"/>
      <c r="G50" s="97"/>
      <c r="H50" s="97"/>
      <c r="I50" s="97"/>
      <c r="J50" s="97"/>
      <c r="K50" s="97"/>
      <c r="L50" s="97"/>
      <c r="M50" s="98"/>
    </row>
    <row r="51" spans="2:13" ht="14" x14ac:dyDescent="0.3">
      <c r="B51" s="94" t="s">
        <v>18</v>
      </c>
      <c r="C51" s="95" t="s">
        <v>112</v>
      </c>
      <c r="D51" s="96" t="s">
        <v>18</v>
      </c>
      <c r="E51" s="97"/>
      <c r="F51" s="97"/>
      <c r="G51" s="97"/>
      <c r="H51" s="97"/>
      <c r="I51" s="97"/>
      <c r="J51" s="97"/>
      <c r="K51" s="97"/>
      <c r="L51" s="97"/>
      <c r="M51" s="98"/>
    </row>
    <row r="52" spans="2:13" ht="34.5" customHeight="1" x14ac:dyDescent="0.3">
      <c r="B52" s="94" t="s">
        <v>116</v>
      </c>
      <c r="C52" s="95" t="s">
        <v>112</v>
      </c>
      <c r="D52" s="96" t="s">
        <v>117</v>
      </c>
      <c r="E52" s="97"/>
      <c r="F52" s="97"/>
      <c r="G52" s="97"/>
      <c r="H52" s="97"/>
      <c r="I52" s="97"/>
      <c r="J52" s="97"/>
      <c r="K52" s="97"/>
      <c r="L52" s="97"/>
      <c r="M52" s="98"/>
    </row>
    <row r="53" spans="2:13" ht="32.75" customHeight="1" x14ac:dyDescent="0.3">
      <c r="B53" s="94" t="s">
        <v>89</v>
      </c>
      <c r="C53" s="95" t="s">
        <v>112</v>
      </c>
      <c r="D53" s="96" t="s">
        <v>118</v>
      </c>
      <c r="E53" s="97"/>
      <c r="F53" s="97"/>
      <c r="G53" s="97"/>
      <c r="H53" s="97"/>
      <c r="I53" s="97"/>
      <c r="J53" s="97"/>
      <c r="K53" s="97"/>
      <c r="L53" s="97"/>
      <c r="M53" s="98"/>
    </row>
    <row r="54" spans="2:13" ht="14" x14ac:dyDescent="0.3">
      <c r="B54" s="94" t="s">
        <v>119</v>
      </c>
      <c r="C54" s="95" t="s">
        <v>112</v>
      </c>
      <c r="D54" s="96" t="s">
        <v>120</v>
      </c>
      <c r="E54" s="97"/>
      <c r="F54" s="97"/>
      <c r="G54" s="97"/>
      <c r="H54" s="97"/>
      <c r="I54" s="97"/>
      <c r="J54" s="97"/>
      <c r="K54" s="97"/>
      <c r="L54" s="97"/>
      <c r="M54" s="98"/>
    </row>
    <row r="55" spans="2:13" ht="25.5" customHeight="1" x14ac:dyDescent="0.3">
      <c r="B55" s="94" t="s">
        <v>67</v>
      </c>
      <c r="C55" s="95" t="s">
        <v>112</v>
      </c>
      <c r="D55" s="96" t="s">
        <v>121</v>
      </c>
      <c r="E55" s="97"/>
      <c r="F55" s="97"/>
      <c r="G55" s="97"/>
      <c r="H55" s="97"/>
      <c r="I55" s="97"/>
      <c r="J55" s="97"/>
      <c r="K55" s="97"/>
      <c r="L55" s="97"/>
      <c r="M55" s="98"/>
    </row>
  </sheetData>
  <mergeCells count="58">
    <mergeCell ref="D55:M55"/>
    <mergeCell ref="D49:M49"/>
    <mergeCell ref="D50:M50"/>
    <mergeCell ref="D51:M51"/>
    <mergeCell ref="D52:M52"/>
    <mergeCell ref="D53:M53"/>
    <mergeCell ref="D54:M54"/>
    <mergeCell ref="B42:C42"/>
    <mergeCell ref="B43:C43"/>
    <mergeCell ref="B44:C44"/>
    <mergeCell ref="A45:C45"/>
    <mergeCell ref="B47:E47"/>
    <mergeCell ref="D48:M48"/>
    <mergeCell ref="B36:C36"/>
    <mergeCell ref="B37:C37"/>
    <mergeCell ref="B38:C38"/>
    <mergeCell ref="B39:C39"/>
    <mergeCell ref="B40:C40"/>
    <mergeCell ref="B41:C41"/>
    <mergeCell ref="B29:C29"/>
    <mergeCell ref="B30:C30"/>
    <mergeCell ref="A33:A35"/>
    <mergeCell ref="B33:C35"/>
    <mergeCell ref="D33:M33"/>
    <mergeCell ref="D34:J34"/>
    <mergeCell ref="K34:K35"/>
    <mergeCell ref="L34:L35"/>
    <mergeCell ref="M34:M35"/>
    <mergeCell ref="B23:C23"/>
    <mergeCell ref="B24:C24"/>
    <mergeCell ref="B25:C25"/>
    <mergeCell ref="B26:C26"/>
    <mergeCell ref="B27:C27"/>
    <mergeCell ref="B28:C28"/>
    <mergeCell ref="D18:L18"/>
    <mergeCell ref="D19:J19"/>
    <mergeCell ref="K19:K20"/>
    <mergeCell ref="L19:L20"/>
    <mergeCell ref="B21:C21"/>
    <mergeCell ref="B22:C22"/>
    <mergeCell ref="B12:C12"/>
    <mergeCell ref="B13:C13"/>
    <mergeCell ref="B14:C14"/>
    <mergeCell ref="B15:C15"/>
    <mergeCell ref="A18:A20"/>
    <mergeCell ref="B18:C20"/>
    <mergeCell ref="B6:C6"/>
    <mergeCell ref="B7:C7"/>
    <mergeCell ref="B8:C8"/>
    <mergeCell ref="B9:C9"/>
    <mergeCell ref="B10:C10"/>
    <mergeCell ref="B11:C11"/>
    <mergeCell ref="A3:A5"/>
    <mergeCell ref="B3:C5"/>
    <mergeCell ref="D3:L3"/>
    <mergeCell ref="D4:J4"/>
    <mergeCell ref="K4:K5"/>
    <mergeCell ref="L4:L5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DFD6-E7D0-41BD-B352-90E8ED0E3F8A}">
  <sheetPr>
    <pageSetUpPr fitToPage="1"/>
  </sheetPr>
  <dimension ref="A1:F52"/>
  <sheetViews>
    <sheetView showGridLines="0" workbookViewId="0">
      <pane xSplit="2" ySplit="4" topLeftCell="E5" activePane="bottomRight" state="frozen"/>
      <selection pane="topRight" activeCell="L11" sqref="L11"/>
      <selection pane="bottomLeft" activeCell="L11" sqref="L11"/>
      <selection pane="bottomRight" activeCell="E7" sqref="E6:E7"/>
    </sheetView>
  </sheetViews>
  <sheetFormatPr defaultColWidth="8.81640625" defaultRowHeight="14.5" x14ac:dyDescent="0.35"/>
  <cols>
    <col min="1" max="1" width="4.81640625" customWidth="1"/>
    <col min="2" max="2" width="45.1796875" customWidth="1"/>
    <col min="3" max="5" width="16.453125" customWidth="1"/>
    <col min="6" max="6" width="10.81640625" customWidth="1"/>
  </cols>
  <sheetData>
    <row r="1" spans="1:6" x14ac:dyDescent="0.35">
      <c r="A1" s="1" t="s">
        <v>0</v>
      </c>
    </row>
    <row r="3" spans="1:6" ht="26" x14ac:dyDescent="0.35">
      <c r="A3" s="2" t="s">
        <v>1</v>
      </c>
      <c r="B3" s="2" t="s">
        <v>2</v>
      </c>
      <c r="C3" s="2" t="s">
        <v>62</v>
      </c>
      <c r="D3" s="2" t="s">
        <v>61</v>
      </c>
      <c r="E3" s="2" t="s">
        <v>59</v>
      </c>
      <c r="F3" s="2" t="s">
        <v>60</v>
      </c>
    </row>
    <row r="4" spans="1:6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s="7" customFormat="1" x14ac:dyDescent="0.35">
      <c r="A5" s="4" t="s">
        <v>13</v>
      </c>
      <c r="B5" s="4"/>
      <c r="C5" s="31">
        <f>C6+C7+C9+C10+C13+C20+C23+C8</f>
        <v>0</v>
      </c>
      <c r="D5" s="31">
        <f>D6+D7+D9+D10+D13+D20+D23</f>
        <v>0</v>
      </c>
      <c r="E5" s="31" t="e">
        <f>E6+E7+E9+E10+E13+E20+E23</f>
        <v>#VALUE!</v>
      </c>
      <c r="F5" s="6" t="e">
        <f>E5/E$52</f>
        <v>#VALUE!</v>
      </c>
    </row>
    <row r="6" spans="1:6" ht="26" x14ac:dyDescent="0.35">
      <c r="A6" s="8">
        <v>1</v>
      </c>
      <c r="B6" s="9" t="s">
        <v>14</v>
      </c>
      <c r="C6" s="10"/>
      <c r="D6" s="10"/>
      <c r="E6" s="34" t="s">
        <v>63</v>
      </c>
      <c r="F6" s="10"/>
    </row>
    <row r="7" spans="1:6" ht="26" x14ac:dyDescent="0.35">
      <c r="A7" s="8">
        <v>2</v>
      </c>
      <c r="B7" s="11" t="s">
        <v>15</v>
      </c>
      <c r="C7" s="10"/>
      <c r="D7" s="10"/>
      <c r="E7" s="34" t="s">
        <v>64</v>
      </c>
      <c r="F7" s="10"/>
    </row>
    <row r="8" spans="1:6" x14ac:dyDescent="0.35">
      <c r="A8" s="8">
        <v>3</v>
      </c>
      <c r="B8" s="11" t="s">
        <v>16</v>
      </c>
      <c r="C8" s="10"/>
      <c r="D8" s="10"/>
      <c r="E8" s="10"/>
      <c r="F8" s="10"/>
    </row>
    <row r="9" spans="1:6" x14ac:dyDescent="0.35">
      <c r="A9" s="8">
        <v>4</v>
      </c>
      <c r="B9" s="11" t="s">
        <v>17</v>
      </c>
      <c r="C9" s="10"/>
      <c r="D9" s="10"/>
      <c r="E9" s="10"/>
      <c r="F9" s="12"/>
    </row>
    <row r="10" spans="1:6" x14ac:dyDescent="0.35">
      <c r="A10" s="8">
        <v>5</v>
      </c>
      <c r="B10" s="9" t="s">
        <v>18</v>
      </c>
      <c r="C10" s="10">
        <f>SUM(C11)</f>
        <v>0</v>
      </c>
      <c r="D10" s="10">
        <f>SUM(D11)</f>
        <v>0</v>
      </c>
      <c r="E10" s="10">
        <f>SUBTOTAL(9,E11:E12)</f>
        <v>0</v>
      </c>
      <c r="F10" s="12"/>
    </row>
    <row r="11" spans="1:6" x14ac:dyDescent="0.35">
      <c r="A11" s="8"/>
      <c r="B11" s="13" t="s">
        <v>19</v>
      </c>
      <c r="C11" s="10"/>
      <c r="D11" s="10"/>
      <c r="E11" s="10"/>
      <c r="F11" s="10"/>
    </row>
    <row r="12" spans="1:6" x14ac:dyDescent="0.35">
      <c r="A12" s="8"/>
      <c r="B12" s="13" t="s">
        <v>20</v>
      </c>
      <c r="C12" s="10"/>
      <c r="D12" s="10"/>
      <c r="E12" s="10"/>
      <c r="F12" s="10"/>
    </row>
    <row r="13" spans="1:6" ht="26" x14ac:dyDescent="0.35">
      <c r="A13" s="15">
        <v>6</v>
      </c>
      <c r="B13" s="9" t="s">
        <v>21</v>
      </c>
      <c r="C13" s="10">
        <f>SUM(C14:C19)</f>
        <v>0</v>
      </c>
      <c r="D13" s="10">
        <f>SUM(D14:D19)</f>
        <v>0</v>
      </c>
      <c r="E13" s="10">
        <f>SUM(E14:E19)</f>
        <v>0</v>
      </c>
      <c r="F13" s="12"/>
    </row>
    <row r="14" spans="1:6" x14ac:dyDescent="0.35">
      <c r="A14" s="16"/>
      <c r="B14" s="17" t="s">
        <v>22</v>
      </c>
      <c r="C14" s="32"/>
      <c r="D14" s="10">
        <v>0</v>
      </c>
      <c r="E14" s="10"/>
      <c r="F14" s="12"/>
    </row>
    <row r="15" spans="1:6" ht="26" x14ac:dyDescent="0.35">
      <c r="A15" s="16"/>
      <c r="B15" s="11" t="s">
        <v>23</v>
      </c>
      <c r="C15" s="32"/>
      <c r="D15" s="10">
        <v>0</v>
      </c>
      <c r="E15" s="10"/>
      <c r="F15" s="12"/>
    </row>
    <row r="16" spans="1:6" x14ac:dyDescent="0.35">
      <c r="A16" s="16"/>
      <c r="B16" s="11" t="s">
        <v>24</v>
      </c>
      <c r="C16" s="33"/>
      <c r="D16" s="10"/>
      <c r="E16" s="10"/>
      <c r="F16" s="12"/>
    </row>
    <row r="17" spans="1:6" x14ac:dyDescent="0.35">
      <c r="A17" s="16"/>
      <c r="B17" s="11" t="s">
        <v>25</v>
      </c>
      <c r="C17" s="32"/>
      <c r="D17" s="10"/>
      <c r="E17" s="10"/>
      <c r="F17" s="12"/>
    </row>
    <row r="18" spans="1:6" x14ac:dyDescent="0.35">
      <c r="A18" s="16"/>
      <c r="B18" s="11" t="s">
        <v>26</v>
      </c>
      <c r="C18" s="33"/>
      <c r="D18" s="10"/>
      <c r="E18" s="10"/>
      <c r="F18" s="12"/>
    </row>
    <row r="19" spans="1:6" x14ac:dyDescent="0.35">
      <c r="A19" s="16"/>
      <c r="B19" s="11" t="s">
        <v>27</v>
      </c>
      <c r="C19" s="33"/>
      <c r="D19" s="10"/>
      <c r="E19" s="10"/>
      <c r="F19" s="12"/>
    </row>
    <row r="20" spans="1:6" ht="26" x14ac:dyDescent="0.35">
      <c r="A20" s="15">
        <v>7</v>
      </c>
      <c r="B20" s="11" t="s">
        <v>28</v>
      </c>
      <c r="C20" s="10">
        <f>SUM(C21:C22)</f>
        <v>0</v>
      </c>
      <c r="D20" s="10">
        <f t="shared" ref="D20:E20" si="0">SUM(D21:D22)</f>
        <v>0</v>
      </c>
      <c r="E20" s="10">
        <f t="shared" si="0"/>
        <v>0</v>
      </c>
      <c r="F20" s="12"/>
    </row>
    <row r="21" spans="1:6" x14ac:dyDescent="0.35">
      <c r="A21" s="15"/>
      <c r="B21" s="17" t="s">
        <v>29</v>
      </c>
      <c r="C21" s="10"/>
      <c r="D21" s="10">
        <v>0</v>
      </c>
      <c r="E21" s="10"/>
      <c r="F21" s="12"/>
    </row>
    <row r="22" spans="1:6" x14ac:dyDescent="0.35">
      <c r="A22" s="15"/>
      <c r="B22" s="11" t="s">
        <v>30</v>
      </c>
      <c r="C22" s="10"/>
      <c r="D22" s="10">
        <v>0</v>
      </c>
      <c r="E22" s="10"/>
      <c r="F22" s="12"/>
    </row>
    <row r="23" spans="1:6" ht="26" x14ac:dyDescent="0.35">
      <c r="A23" s="15">
        <v>8</v>
      </c>
      <c r="B23" s="9" t="s">
        <v>31</v>
      </c>
      <c r="C23" s="34">
        <f>SUM(C24:C26)</f>
        <v>0</v>
      </c>
      <c r="D23" s="34">
        <f>SUM(D24:D26)</f>
        <v>0</v>
      </c>
      <c r="E23" s="34">
        <f t="shared" ref="E23" si="1">SUM(E24:E26)</f>
        <v>0</v>
      </c>
      <c r="F23" s="12"/>
    </row>
    <row r="24" spans="1:6" x14ac:dyDescent="0.35">
      <c r="A24" s="15"/>
      <c r="B24" s="11" t="s">
        <v>32</v>
      </c>
      <c r="C24" s="10"/>
      <c r="D24" s="10">
        <v>0</v>
      </c>
      <c r="E24" s="10"/>
      <c r="F24" s="12"/>
    </row>
    <row r="25" spans="1:6" x14ac:dyDescent="0.35">
      <c r="A25" s="15"/>
      <c r="B25" s="18" t="s">
        <v>33</v>
      </c>
      <c r="C25" s="10"/>
      <c r="D25" s="10"/>
      <c r="E25" s="10"/>
      <c r="F25" s="12"/>
    </row>
    <row r="26" spans="1:6" x14ac:dyDescent="0.35">
      <c r="A26" s="15"/>
      <c r="B26" s="18" t="s">
        <v>34</v>
      </c>
      <c r="C26" s="10"/>
      <c r="D26" s="10"/>
      <c r="E26" s="10"/>
      <c r="F26" s="12"/>
    </row>
    <row r="27" spans="1:6" s="7" customFormat="1" x14ac:dyDescent="0.35">
      <c r="A27" s="4" t="s">
        <v>35</v>
      </c>
      <c r="B27" s="4"/>
      <c r="C27" s="31">
        <f>SUBTOTAL(9,C28:C50)</f>
        <v>0</v>
      </c>
      <c r="D27" s="31">
        <f>D28+D29+D39+D40+D44+D48+D49+D50+D51</f>
        <v>0</v>
      </c>
      <c r="E27" s="31">
        <f>SUBTOTAL(9,E28:E51)</f>
        <v>0</v>
      </c>
      <c r="F27" s="6" t="e">
        <f>E27/E$52</f>
        <v>#VALUE!</v>
      </c>
    </row>
    <row r="28" spans="1:6" x14ac:dyDescent="0.35">
      <c r="A28" s="19">
        <v>9</v>
      </c>
      <c r="B28" s="18" t="s">
        <v>36</v>
      </c>
      <c r="C28" s="14"/>
      <c r="D28" s="31"/>
      <c r="E28" s="31"/>
      <c r="F28" s="21" t="e">
        <f>E28/E$27</f>
        <v>#DIV/0!</v>
      </c>
    </row>
    <row r="29" spans="1:6" ht="26" x14ac:dyDescent="0.35">
      <c r="A29" s="22">
        <v>10</v>
      </c>
      <c r="B29" s="18" t="s">
        <v>37</v>
      </c>
      <c r="C29" s="31">
        <f>SUBTOTAL(9,C30:C37)</f>
        <v>0</v>
      </c>
      <c r="D29" s="31">
        <f>SUBTOTAL(9,D30:D37)</f>
        <v>0</v>
      </c>
      <c r="E29" s="31">
        <f>SUBTOTAL(9,E30:E37)</f>
        <v>0</v>
      </c>
      <c r="F29" s="21" t="e">
        <f>E29/E$27</f>
        <v>#DIV/0!</v>
      </c>
    </row>
    <row r="30" spans="1:6" x14ac:dyDescent="0.35">
      <c r="A30" s="23"/>
      <c r="B30" s="18" t="s">
        <v>38</v>
      </c>
      <c r="C30" s="31">
        <f>SUBTOTAL(9,C31:C36)</f>
        <v>0</v>
      </c>
      <c r="D30" s="31">
        <f>SUBTOTAL(9,D31:D36)</f>
        <v>0</v>
      </c>
      <c r="E30" s="31">
        <f>SUBTOTAL(9,E31:E36)</f>
        <v>0</v>
      </c>
      <c r="F30" s="21"/>
    </row>
    <row r="31" spans="1:6" x14ac:dyDescent="0.35">
      <c r="A31" s="23"/>
      <c r="B31" s="18" t="s">
        <v>39</v>
      </c>
      <c r="C31" s="35"/>
      <c r="D31" s="14"/>
      <c r="E31" s="14"/>
      <c r="F31" s="21"/>
    </row>
    <row r="32" spans="1:6" x14ac:dyDescent="0.35">
      <c r="A32" s="23"/>
      <c r="B32" s="18" t="s">
        <v>40</v>
      </c>
      <c r="C32" s="14"/>
      <c r="D32" s="14"/>
      <c r="E32" s="14"/>
      <c r="F32" s="21"/>
    </row>
    <row r="33" spans="1:6" x14ac:dyDescent="0.35">
      <c r="A33" s="23"/>
      <c r="B33" s="18" t="s">
        <v>41</v>
      </c>
      <c r="C33" s="35"/>
      <c r="D33" s="14"/>
      <c r="E33" s="14"/>
      <c r="F33" s="21"/>
    </row>
    <row r="34" spans="1:6" x14ac:dyDescent="0.35">
      <c r="A34" s="23"/>
      <c r="B34" s="18" t="s">
        <v>42</v>
      </c>
      <c r="C34" s="35"/>
      <c r="D34" s="14"/>
      <c r="E34" s="14"/>
      <c r="F34" s="21"/>
    </row>
    <row r="35" spans="1:6" x14ac:dyDescent="0.35">
      <c r="A35" s="23"/>
      <c r="B35" s="18" t="s">
        <v>43</v>
      </c>
      <c r="C35" s="35"/>
      <c r="D35" s="14"/>
      <c r="E35" s="14"/>
      <c r="F35" s="21"/>
    </row>
    <row r="36" spans="1:6" x14ac:dyDescent="0.35">
      <c r="A36" s="23"/>
      <c r="B36" s="18" t="s">
        <v>44</v>
      </c>
      <c r="C36" s="35"/>
      <c r="D36" s="14"/>
      <c r="E36" s="14"/>
      <c r="F36" s="21"/>
    </row>
    <row r="37" spans="1:6" x14ac:dyDescent="0.35">
      <c r="A37" s="24"/>
      <c r="B37" s="18" t="s">
        <v>45</v>
      </c>
      <c r="C37" s="31"/>
      <c r="D37" s="31"/>
      <c r="E37" s="31"/>
      <c r="F37" s="21"/>
    </row>
    <row r="38" spans="1:6" x14ac:dyDescent="0.35">
      <c r="A38" s="25"/>
      <c r="B38" s="18"/>
      <c r="C38" s="14"/>
      <c r="D38" s="14"/>
      <c r="E38" s="14"/>
      <c r="F38" s="21"/>
    </row>
    <row r="39" spans="1:6" x14ac:dyDescent="0.35">
      <c r="A39" s="19">
        <v>11</v>
      </c>
      <c r="B39" s="18" t="s">
        <v>46</v>
      </c>
      <c r="C39" s="14"/>
      <c r="D39" s="14">
        <v>0</v>
      </c>
      <c r="E39" s="14"/>
      <c r="F39" s="21" t="e">
        <f>E39/E$27</f>
        <v>#DIV/0!</v>
      </c>
    </row>
    <row r="40" spans="1:6" x14ac:dyDescent="0.35">
      <c r="A40" s="26">
        <v>12</v>
      </c>
      <c r="B40" s="18" t="s">
        <v>47</v>
      </c>
      <c r="C40" s="31">
        <f>SUBTOTAL(9,C41:C43)</f>
        <v>0</v>
      </c>
      <c r="D40" s="31">
        <f t="shared" ref="D40" si="2">SUM(D41:D43)</f>
        <v>0</v>
      </c>
      <c r="E40" s="31">
        <f>SUBTOTAL(9,E41:E43)</f>
        <v>0</v>
      </c>
      <c r="F40" s="21" t="e">
        <f>E40/E$27</f>
        <v>#DIV/0!</v>
      </c>
    </row>
    <row r="41" spans="1:6" x14ac:dyDescent="0.35">
      <c r="A41" s="23"/>
      <c r="B41" s="18" t="s">
        <v>48</v>
      </c>
      <c r="C41" s="14"/>
      <c r="D41" s="14"/>
      <c r="E41" s="36"/>
      <c r="F41" s="21"/>
    </row>
    <row r="42" spans="1:6" x14ac:dyDescent="0.35">
      <c r="A42" s="23"/>
      <c r="B42" s="18" t="s">
        <v>49</v>
      </c>
      <c r="C42" s="14"/>
      <c r="D42" s="14"/>
      <c r="E42" s="14"/>
      <c r="F42" s="21"/>
    </row>
    <row r="43" spans="1:6" x14ac:dyDescent="0.35">
      <c r="A43" s="24"/>
      <c r="B43" s="18" t="s">
        <v>50</v>
      </c>
      <c r="C43" s="14"/>
      <c r="D43" s="14"/>
      <c r="E43" s="14"/>
      <c r="F43" s="21"/>
    </row>
    <row r="44" spans="1:6" x14ac:dyDescent="0.35">
      <c r="A44" s="26">
        <v>13</v>
      </c>
      <c r="B44" s="18" t="s">
        <v>51</v>
      </c>
      <c r="C44" s="31">
        <f>SUBTOTAL(9,C45:C47)</f>
        <v>0</v>
      </c>
      <c r="D44" s="31">
        <f t="shared" ref="D44" si="3">SUM(D45:D47)</f>
        <v>0</v>
      </c>
      <c r="E44" s="31">
        <f>SUBTOTAL(9,E45:E47)</f>
        <v>0</v>
      </c>
      <c r="F44" s="21" t="e">
        <f>E44/E$27</f>
        <v>#DIV/0!</v>
      </c>
    </row>
    <row r="45" spans="1:6" x14ac:dyDescent="0.35">
      <c r="A45" s="23"/>
      <c r="B45" s="27" t="s">
        <v>52</v>
      </c>
      <c r="C45" s="14"/>
      <c r="D45" s="14"/>
      <c r="E45" s="14"/>
      <c r="F45" s="21"/>
    </row>
    <row r="46" spans="1:6" x14ac:dyDescent="0.35">
      <c r="A46" s="23"/>
      <c r="B46" s="27" t="s">
        <v>53</v>
      </c>
      <c r="C46" s="14"/>
      <c r="D46" s="14"/>
      <c r="E46" s="14"/>
      <c r="F46" s="21"/>
    </row>
    <row r="47" spans="1:6" x14ac:dyDescent="0.35">
      <c r="A47" s="24"/>
      <c r="B47" s="18" t="s">
        <v>51</v>
      </c>
      <c r="C47" s="14"/>
      <c r="D47" s="14"/>
      <c r="E47" s="37"/>
      <c r="F47" s="21"/>
    </row>
    <row r="48" spans="1:6" x14ac:dyDescent="0.35">
      <c r="A48" s="19">
        <v>14</v>
      </c>
      <c r="B48" s="18" t="s">
        <v>54</v>
      </c>
      <c r="C48" s="14"/>
      <c r="D48" s="31"/>
      <c r="E48" s="36"/>
      <c r="F48" s="21" t="e">
        <f>E48/E$27</f>
        <v>#DIV/0!</v>
      </c>
    </row>
    <row r="49" spans="1:6" x14ac:dyDescent="0.35">
      <c r="A49" s="19">
        <v>15</v>
      </c>
      <c r="B49" s="18" t="s">
        <v>55</v>
      </c>
      <c r="C49" s="14"/>
      <c r="D49" s="14"/>
      <c r="E49" s="14"/>
      <c r="F49" s="21" t="e">
        <f>E49/E$27</f>
        <v>#DIV/0!</v>
      </c>
    </row>
    <row r="50" spans="1:6" x14ac:dyDescent="0.35">
      <c r="A50" s="19">
        <v>16</v>
      </c>
      <c r="B50" s="18" t="s">
        <v>56</v>
      </c>
      <c r="C50" s="14"/>
      <c r="D50" s="14"/>
      <c r="E50" s="14"/>
      <c r="F50" s="21" t="e">
        <f>E50/E$27</f>
        <v>#DIV/0!</v>
      </c>
    </row>
    <row r="51" spans="1:6" x14ac:dyDescent="0.35">
      <c r="A51" s="19">
        <v>17</v>
      </c>
      <c r="B51" s="18" t="s">
        <v>57</v>
      </c>
      <c r="C51" s="14"/>
      <c r="D51" s="31"/>
      <c r="E51" s="37"/>
      <c r="F51" s="21" t="e">
        <f>E51/E$27</f>
        <v>#DIV/0!</v>
      </c>
    </row>
    <row r="52" spans="1:6" x14ac:dyDescent="0.35">
      <c r="A52" s="28" t="s">
        <v>58</v>
      </c>
      <c r="B52" s="28"/>
      <c r="C52" s="29">
        <f>C5+C27</f>
        <v>0</v>
      </c>
      <c r="D52" s="29">
        <f>D5+D27</f>
        <v>0</v>
      </c>
      <c r="E52" s="29" t="e">
        <f>E5+E27</f>
        <v>#VALUE!</v>
      </c>
      <c r="F52" s="30" t="e">
        <f>F5+F27</f>
        <v>#VALUE!</v>
      </c>
    </row>
  </sheetData>
  <mergeCells count="9">
    <mergeCell ref="A40:A43"/>
    <mergeCell ref="A44:A47"/>
    <mergeCell ref="A52:B52"/>
    <mergeCell ref="A5:B5"/>
    <mergeCell ref="A13:A19"/>
    <mergeCell ref="A20:A22"/>
    <mergeCell ref="A23:A26"/>
    <mergeCell ref="A27:B27"/>
    <mergeCell ref="A30:A37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1. Pengesahan</vt:lpstr>
      <vt:lpstr>3. Ringkasan Biaya</vt:lpstr>
      <vt:lpstr>4. Ringkasan Sumber Pembiayaan</vt:lpstr>
      <vt:lpstr>6. Rincian Biaya</vt:lpstr>
      <vt:lpstr>7. Rincian Sumber Pembiayaan</vt:lpstr>
      <vt:lpstr>'1. Pengesahan'!Print_Area</vt:lpstr>
      <vt:lpstr>'3. Ringkasan Biaya'!Print_Area</vt:lpstr>
      <vt:lpstr>'4. Ringkasan Sumber Pembiayaan'!Print_Area</vt:lpstr>
      <vt:lpstr>'6. Rincian Biaya'!Print_Area</vt:lpstr>
      <vt:lpstr>'7. Rincian Sumber Pembiayaan'!Print_Area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Sri Widodo</dc:creator>
  <cp:lastModifiedBy>Bagus Sri Widodo</cp:lastModifiedBy>
  <cp:lastPrinted>2026-10-09T07:06:54Z</cp:lastPrinted>
  <dcterms:created xsi:type="dcterms:W3CDTF">2026-10-09T06:53:57Z</dcterms:created>
  <dcterms:modified xsi:type="dcterms:W3CDTF">2026-10-09T07:09:23Z</dcterms:modified>
</cp:coreProperties>
</file>