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K\OneDrive - UGM 365\Desktop\verifikasi-online\"/>
    </mc:Choice>
  </mc:AlternateContent>
  <xr:revisionPtr revIDLastSave="0" documentId="13_ncr:1_{DCA575AB-5438-486D-B77D-104D108E3A4E}" xr6:coauthVersionLast="47" xr6:coauthVersionMax="47" xr10:uidLastSave="{00000000-0000-0000-0000-000000000000}"/>
  <bookViews>
    <workbookView xWindow="-110" yWindow="-110" windowWidth="19420" windowHeight="10300" xr2:uid="{CF191119-30D2-4DAA-9C74-F4BC66752B97}"/>
  </bookViews>
  <sheets>
    <sheet name="Work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7" i="1" l="1"/>
  <c r="R20" i="1"/>
  <c r="R14" i="1" s="1"/>
  <c r="N20" i="1"/>
  <c r="N14" i="1" s="1"/>
</calcChain>
</file>

<file path=xl/sharedStrings.xml><?xml version="1.0" encoding="utf-8"?>
<sst xmlns="http://schemas.openxmlformats.org/spreadsheetml/2006/main" count="150" uniqueCount="86">
  <si>
    <t>RENCANA KEGIATAN DAN ANGGARAN TAHUNAN</t>
  </si>
  <si>
    <t>TAHUN 2026</t>
  </si>
  <si>
    <t>Unit Kerja</t>
  </si>
  <si>
    <t>:</t>
  </si>
  <si>
    <t>Kode Kegiatan</t>
  </si>
  <si>
    <t>3.1.3.1.2.8.2</t>
  </si>
  <si>
    <t>Nama Kegiatan</t>
  </si>
  <si>
    <t>-</t>
  </si>
  <si>
    <t>Lingkup Kegiatan</t>
  </si>
  <si>
    <t>Prioritas</t>
  </si>
  <si>
    <t>Pertama, Kedua, Ketiga</t>
  </si>
  <si>
    <t>Sumber Dana</t>
  </si>
  <si>
    <t xml:space="preserve">Dana Masyarakat Tidak Mengikat </t>
  </si>
  <si>
    <t>Status Detail Pengeluaran</t>
  </si>
  <si>
    <t>Disetujui, Dalam Proses, Revisi, Ditolak</t>
  </si>
  <si>
    <t>Fungsi/Sub Fungsi/Kegiatan/Belanja</t>
  </si>
  <si>
    <t>Volume</t>
  </si>
  <si>
    <t>Satuan</t>
  </si>
  <si>
    <t>Haraga Satuan</t>
  </si>
  <si>
    <t>Jumlah Biaya</t>
  </si>
  <si>
    <t>Jumlah Anggaran Pengeluaran</t>
  </si>
  <si>
    <t xml:space="preserve">Sumber Dana : Dana Masyarakat Tidak Mengikat </t>
  </si>
  <si>
    <t>3.1.3.1.2 Penguatan kemitraan dalam pengembangan pengabdian kepada masyarakat</t>
  </si>
  <si>
    <t>3.1.3.1.2.8 Jumlah kegiatan pengabdian kepada masyarakat  yang berkolaborasi dengan mitra (Pemerintah, BUMN, Swasta, Perguruan Tinggi, Kagama dan mitra lainnya)</t>
  </si>
  <si>
    <t>3.1.3.1.2.8.2 Pelaksanaan kegiatan pengabdian masyarakat dengan mitra Pemerintah  Daerah, BUMN dan Swasta</t>
  </si>
  <si>
    <t>Rincian</t>
  </si>
  <si>
    <t>51201 Honorarium</t>
  </si>
  <si>
    <t>Honorarium Penanggung jawab, pengarah, ketua, koordinator, anggota [1 Paket x 1 Kegiatan]
 [1 paket]</t>
  </si>
  <si>
    <t>paket</t>
  </si>
  <si>
    <t>54101 Biaya Perjalanan Dalam Negeri</t>
  </si>
  <si>
    <t>Biaya Perjalanan Dalam Negeri [1 paket]</t>
  </si>
  <si>
    <t>52810 Ekspedisi dan Pos</t>
  </si>
  <si>
    <t>Ekspedisi dan Pos [1 paket]</t>
  </si>
  <si>
    <t>56101 Pengeluaran transfer rekening antar unit</t>
  </si>
  <si>
    <t>Pengeluaran Transfer Rekening Antar Unit [1 paket]</t>
  </si>
  <si>
    <t>52199 Bahan Habis Pakai Lainnya</t>
  </si>
  <si>
    <t>Bahan Habis Pakai Lainnya [1 paket]</t>
  </si>
  <si>
    <t>52809 Cetak dan Penggandaan Dokumen</t>
  </si>
  <si>
    <t>Cetak dan Penggandaan Dokumen</t>
  </si>
  <si>
    <t>1.2.2.3.2 Penguatan kemampuan manajerial dan entrepreneur</t>
  </si>
  <si>
    <t>1.2.2.3.2.4 Jumlah kegiatan wirausaha yang melibatkan mitra dari luar UGM yang diikuti mahasiswa</t>
  </si>
  <si>
    <t>1.2.2.3.2.4.1 Penyusunan proposal</t>
  </si>
  <si>
    <t>Lingkup Kegiatan : Pengembangan Jiwa Kewirausahaan</t>
  </si>
  <si>
    <t>Honorarium Narasumber/Reviewer/Fasilitator
 [133 orang x 1 jam]</t>
  </si>
  <si>
    <t>O/J</t>
  </si>
  <si>
    <t>52101 Bahan Habis Pakai Perkantoran</t>
  </si>
  <si>
    <t>Bahan Habis Pakai Perkantoran [1 paket]</t>
  </si>
  <si>
    <t>Perlengkapan pendukung pelatihan  [12 paket]</t>
  </si>
  <si>
    <t>52302 Sewa Bangunan dan Ruangan</t>
  </si>
  <si>
    <t>Sewa tempat pelatihan [5 unit]</t>
  </si>
  <si>
    <t>unit</t>
  </si>
  <si>
    <t>52304 Sewa Peralatan dan mesin</t>
  </si>
  <si>
    <t>Sewa Peralatan Pendukung [1 paket]</t>
  </si>
  <si>
    <t>52303 Sewa Kendaraan dan Alat Angkutan</t>
  </si>
  <si>
    <t>Sewa Kendaraan dan Alat Angkutan [12 unit]</t>
  </si>
  <si>
    <t>52501 Beasiswa, Bantuan Tridharma Mahasiswa</t>
  </si>
  <si>
    <t>Beasiswa, Pemberian Bantuan Tridharma Mahasiswa [20 kel]</t>
  </si>
  <si>
    <t>kel</t>
  </si>
  <si>
    <t>Cetak dan Penggandaan Dokumen [15 paket]</t>
  </si>
  <si>
    <t>Biaya Tiket perjalanan dinas pendampingan [22 orang x 2 keg]</t>
  </si>
  <si>
    <t>O/K</t>
  </si>
  <si>
    <t>Biaya Penginapan [22 orang x 2 hari]</t>
  </si>
  <si>
    <t>O/H</t>
  </si>
  <si>
    <t>Uang Transport [11 orang x 2 keg]</t>
  </si>
  <si>
    <t>Uang Harian [19 orang x 3 hari]</t>
  </si>
  <si>
    <t>52104 Bahan Habis Pakai Konsumsi</t>
  </si>
  <si>
    <t>Bahan Habis Pakai Konsumsi [2800 Paket]</t>
  </si>
  <si>
    <t>Paket</t>
  </si>
  <si>
    <t>Pengeluaran Transfer Rekening Antar Unit [1 keg]</t>
  </si>
  <si>
    <t>keg</t>
  </si>
  <si>
    <t xml:space="preserve">52804 Penghargaan dan Pemberian Anugerah </t>
  </si>
  <si>
    <t>Kegiatan</t>
  </si>
  <si>
    <t>52399 Biaya Sewa Lainnya</t>
  </si>
  <si>
    <t>52805 Pemakaian Jasa Profesional</t>
  </si>
  <si>
    <t>Orang/Bulan</t>
  </si>
  <si>
    <t>52103 Bahan Habis Pakai Kerumahtanggaan</t>
  </si>
  <si>
    <t>55105 Biaya Modal Peralatan dan Mesin</t>
  </si>
  <si>
    <t>Biaya Modal Peralatan dan Mesin  [4 paket]</t>
  </si>
  <si>
    <t>010802 - Direktorat Keuangan</t>
  </si>
  <si>
    <t>Lingkup Kegiatan : Kegiatan Tim Kerjasama</t>
  </si>
  <si>
    <t>Honorarium Kepanitiaan mahasiswa [10 orang x 7 keg]</t>
  </si>
  <si>
    <t>Penghargaan [1 Kegiatan]</t>
  </si>
  <si>
    <t>Pembelian barang habis pakai [22 keg]</t>
  </si>
  <si>
    <t>Sewa baju [30 paket]</t>
  </si>
  <si>
    <t>Pembuatan Booth [4 orang x 1 bulan]</t>
  </si>
  <si>
    <t>Pembelian obat [2 paket]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</si>
</sst>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Calibri"/>
    </font>
    <font>
      <b/>
      <sz val="11"/>
      <color indexed="8"/>
      <name val="Calibri"/>
    </font>
    <font>
      <b/>
      <i/>
      <sz val="11"/>
      <color indexed="8"/>
      <name val="Calibri"/>
    </font>
    <font>
      <sz val="11"/>
      <color indexed="8"/>
      <name val="Calibri"/>
      <family val="2"/>
    </font>
    <font>
      <b/>
      <i/>
      <sz val="11"/>
      <color indexed="8"/>
      <name val="Calibri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</borders>
  <cellStyleXfs count="2">
    <xf numFmtId="0" fontId="0" fillId="0" borderId="0" applyFill="0" applyProtection="0"/>
    <xf numFmtId="0" fontId="5" fillId="0" borderId="0"/>
  </cellStyleXfs>
  <cellXfs count="20">
    <xf numFmtId="0" fontId="0" fillId="0" borderId="0" xfId="0" applyFill="1" applyProtection="1"/>
    <xf numFmtId="3" fontId="0" fillId="0" borderId="0" xfId="0" applyNumberFormat="1" applyFill="1" applyProtection="1"/>
    <xf numFmtId="0" fontId="1" fillId="0" borderId="1" xfId="0" applyFont="1" applyFill="1" applyBorder="1" applyAlignment="1" applyProtection="1">
      <alignment horizontal="center"/>
    </xf>
    <xf numFmtId="3" fontId="1" fillId="0" borderId="1" xfId="0" applyNumberFormat="1" applyFont="1" applyFill="1" applyBorder="1" applyAlignment="1" applyProtection="1">
      <alignment horizontal="center"/>
    </xf>
    <xf numFmtId="0" fontId="1" fillId="0" borderId="2" xfId="0" applyFont="1" applyFill="1" applyBorder="1" applyProtection="1"/>
    <xf numFmtId="3" fontId="1" fillId="0" borderId="2" xfId="0" applyNumberFormat="1" applyFont="1" applyFill="1" applyBorder="1" applyProtection="1"/>
    <xf numFmtId="0" fontId="0" fillId="0" borderId="2" xfId="0" applyFill="1" applyBorder="1" applyProtection="1"/>
    <xf numFmtId="3" fontId="0" fillId="0" borderId="2" xfId="0" applyNumberFormat="1" applyFill="1" applyBorder="1" applyProtection="1"/>
    <xf numFmtId="0" fontId="1" fillId="0" borderId="0" xfId="0" applyFont="1" applyFill="1" applyProtection="1"/>
    <xf numFmtId="0" fontId="2" fillId="0" borderId="0" xfId="0" applyFont="1" applyFill="1" applyProtection="1"/>
    <xf numFmtId="0" fontId="2" fillId="0" borderId="2" xfId="0" applyFont="1" applyFill="1" applyBorder="1" applyProtection="1"/>
    <xf numFmtId="0" fontId="0" fillId="0" borderId="0" xfId="0" applyFill="1" applyAlignment="1" applyProtection="1">
      <alignment horizontal="center"/>
    </xf>
    <xf numFmtId="0" fontId="1" fillId="0" borderId="0" xfId="0" applyFont="1" applyFill="1" applyAlignment="1" applyProtection="1">
      <alignment horizontal="center"/>
    </xf>
    <xf numFmtId="3" fontId="1" fillId="0" borderId="0" xfId="0" applyNumberFormat="1" applyFont="1" applyFill="1" applyAlignment="1" applyProtection="1">
      <alignment horizontal="center"/>
    </xf>
    <xf numFmtId="0" fontId="1" fillId="0" borderId="1" xfId="0" applyFont="1" applyFill="1" applyBorder="1" applyAlignment="1" applyProtection="1">
      <alignment horizontal="center"/>
    </xf>
    <xf numFmtId="0" fontId="1" fillId="0" borderId="2" xfId="0" applyFont="1" applyFill="1" applyBorder="1" applyProtection="1"/>
    <xf numFmtId="0" fontId="4" fillId="0" borderId="0" xfId="0" applyFont="1" applyFill="1" applyProtection="1"/>
    <xf numFmtId="0" fontId="3" fillId="0" borderId="0" xfId="0" applyFont="1" applyFill="1" applyProtection="1"/>
    <xf numFmtId="0" fontId="1" fillId="2" borderId="1" xfId="0" applyFont="1" applyFill="1" applyBorder="1" applyAlignment="1" applyProtection="1">
      <alignment horizontal="center"/>
    </xf>
    <xf numFmtId="3" fontId="1" fillId="2" borderId="1" xfId="0" applyNumberFormat="1" applyFont="1" applyFill="1" applyBorder="1" applyAlignment="1" applyProtection="1">
      <alignment horizontal="center"/>
    </xf>
  </cellXfs>
  <cellStyles count="2">
    <cellStyle name="Normal" xfId="0" builtinId="0"/>
    <cellStyle name="Normal 2" xfId="1" xr:uid="{7FFDAD63-05E1-44BE-958A-400AFD820DF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C3241-E6E9-46E6-9460-2E8FF5E836E6}">
  <sheetPr>
    <pageSetUpPr fitToPage="1"/>
  </sheetPr>
  <dimension ref="B1:T84"/>
  <sheetViews>
    <sheetView tabSelected="1" showRuler="0" topLeftCell="A4" zoomScale="70" zoomScaleNormal="70" workbookViewId="0">
      <pane xSplit="10" ySplit="9" topLeftCell="K61" activePane="bottomRight" state="frozen"/>
      <selection activeCell="A4" sqref="A4"/>
      <selection pane="topRight" activeCell="K4" sqref="K4"/>
      <selection pane="bottomLeft" activeCell="A13" sqref="A13"/>
      <selection pane="bottomRight" activeCell="I79" sqref="I79"/>
    </sheetView>
  </sheetViews>
  <sheetFormatPr defaultRowHeight="14.5" x14ac:dyDescent="0.35"/>
  <cols>
    <col min="1" max="9" width="3" customWidth="1"/>
    <col min="10" max="10" width="70" customWidth="1"/>
    <col min="11" max="12" width="10" customWidth="1"/>
    <col min="13" max="13" width="18.81640625" style="1" bestFit="1" customWidth="1"/>
    <col min="14" max="14" width="22" style="1" customWidth="1"/>
    <col min="17" max="17" width="18.81640625" bestFit="1" customWidth="1"/>
    <col min="18" max="18" width="16.81640625" bestFit="1" customWidth="1"/>
  </cols>
  <sheetData>
    <row r="1" spans="2:18" x14ac:dyDescent="0.35">
      <c r="B1" s="12" t="s">
        <v>0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  <c r="N1" s="13"/>
    </row>
    <row r="2" spans="2:18" x14ac:dyDescent="0.35">
      <c r="B2" s="12" t="s">
        <v>1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3"/>
      <c r="N2" s="13"/>
    </row>
    <row r="4" spans="2:18" ht="14.5" customHeight="1" x14ac:dyDescent="0.35">
      <c r="B4" t="s">
        <v>2</v>
      </c>
      <c r="G4" t="s">
        <v>3</v>
      </c>
      <c r="H4" t="s">
        <v>78</v>
      </c>
    </row>
    <row r="5" spans="2:18" x14ac:dyDescent="0.35">
      <c r="B5" t="s">
        <v>4</v>
      </c>
      <c r="G5" t="s">
        <v>3</v>
      </c>
      <c r="H5" t="s">
        <v>5</v>
      </c>
    </row>
    <row r="6" spans="2:18" x14ac:dyDescent="0.35">
      <c r="B6" t="s">
        <v>6</v>
      </c>
      <c r="G6" t="s">
        <v>3</v>
      </c>
      <c r="H6" t="s">
        <v>7</v>
      </c>
    </row>
    <row r="7" spans="2:18" x14ac:dyDescent="0.35">
      <c r="B7" t="s">
        <v>8</v>
      </c>
      <c r="G7" t="s">
        <v>3</v>
      </c>
      <c r="H7" t="s">
        <v>7</v>
      </c>
    </row>
    <row r="8" spans="2:18" x14ac:dyDescent="0.35">
      <c r="B8" t="s">
        <v>9</v>
      </c>
      <c r="G8" t="s">
        <v>3</v>
      </c>
      <c r="H8" t="s">
        <v>10</v>
      </c>
    </row>
    <row r="9" spans="2:18" x14ac:dyDescent="0.35">
      <c r="B9" t="s">
        <v>11</v>
      </c>
      <c r="G9" t="s">
        <v>3</v>
      </c>
      <c r="H9" t="s">
        <v>12</v>
      </c>
    </row>
    <row r="10" spans="2:18" x14ac:dyDescent="0.35">
      <c r="B10" t="s">
        <v>13</v>
      </c>
      <c r="G10" t="s">
        <v>3</v>
      </c>
      <c r="H10" t="s">
        <v>14</v>
      </c>
    </row>
    <row r="12" spans="2:18" x14ac:dyDescent="0.35">
      <c r="B12" s="14" t="s">
        <v>15</v>
      </c>
      <c r="C12" s="14"/>
      <c r="D12" s="14"/>
      <c r="E12" s="14"/>
      <c r="F12" s="14"/>
      <c r="G12" s="14"/>
      <c r="H12" s="14"/>
      <c r="I12" s="14"/>
      <c r="J12" s="14"/>
      <c r="K12" s="2" t="s">
        <v>16</v>
      </c>
      <c r="L12" s="2" t="s">
        <v>17</v>
      </c>
      <c r="M12" s="3" t="s">
        <v>18</v>
      </c>
      <c r="N12" s="3" t="s">
        <v>19</v>
      </c>
      <c r="O12" s="18" t="s">
        <v>16</v>
      </c>
      <c r="P12" s="18" t="s">
        <v>17</v>
      </c>
      <c r="Q12" s="19" t="s">
        <v>18</v>
      </c>
      <c r="R12" s="19" t="s">
        <v>19</v>
      </c>
    </row>
    <row r="13" spans="2:18" x14ac:dyDescent="0.35">
      <c r="Q13" s="1"/>
      <c r="R13" s="1"/>
    </row>
    <row r="14" spans="2:18" x14ac:dyDescent="0.35">
      <c r="B14" s="15" t="s">
        <v>20</v>
      </c>
      <c r="C14" s="15"/>
      <c r="D14" s="15"/>
      <c r="E14" s="15"/>
      <c r="F14" s="15"/>
      <c r="G14" s="15"/>
      <c r="H14" s="15"/>
      <c r="I14" s="15"/>
      <c r="J14" s="15"/>
      <c r="K14" s="4"/>
      <c r="L14" s="4"/>
      <c r="M14" s="5"/>
      <c r="N14" s="5">
        <f>N20</f>
        <v>693090846</v>
      </c>
      <c r="O14" s="4"/>
      <c r="P14" s="4"/>
      <c r="Q14" s="5"/>
      <c r="R14" s="5">
        <f>R20</f>
        <v>693090846</v>
      </c>
    </row>
    <row r="15" spans="2:18" x14ac:dyDescent="0.35">
      <c r="R15" s="1"/>
    </row>
    <row r="16" spans="2:18" x14ac:dyDescent="0.35">
      <c r="B16" s="8" t="s">
        <v>78</v>
      </c>
      <c r="C16" s="8"/>
      <c r="D16" s="8"/>
      <c r="E16" s="8"/>
      <c r="F16" s="8"/>
      <c r="H16" s="9"/>
      <c r="R16" s="1"/>
    </row>
    <row r="17" spans="2:18" x14ac:dyDescent="0.35">
      <c r="B17" s="8"/>
      <c r="C17" s="8" t="s">
        <v>21</v>
      </c>
      <c r="D17" s="8"/>
      <c r="E17" s="8"/>
      <c r="F17" s="8"/>
      <c r="H17" s="9"/>
      <c r="R17" s="1"/>
    </row>
    <row r="18" spans="2:18" x14ac:dyDescent="0.35">
      <c r="B18" s="8"/>
      <c r="C18" s="8"/>
      <c r="D18" s="8" t="s">
        <v>22</v>
      </c>
      <c r="E18" s="8"/>
      <c r="F18" s="8"/>
      <c r="H18" s="9"/>
      <c r="R18" s="1"/>
    </row>
    <row r="19" spans="2:18" x14ac:dyDescent="0.35">
      <c r="B19" s="8"/>
      <c r="C19" s="8"/>
      <c r="D19" s="8"/>
      <c r="E19" s="8" t="s">
        <v>23</v>
      </c>
      <c r="F19" s="8"/>
      <c r="H19" s="9"/>
      <c r="R19" s="1"/>
    </row>
    <row r="20" spans="2:18" x14ac:dyDescent="0.35">
      <c r="B20" s="8"/>
      <c r="C20" s="8"/>
      <c r="D20" s="8"/>
      <c r="E20" s="8"/>
      <c r="F20" s="4" t="s">
        <v>24</v>
      </c>
      <c r="G20" s="6"/>
      <c r="H20" s="10"/>
      <c r="I20" s="6"/>
      <c r="J20" s="6"/>
      <c r="K20" s="6"/>
      <c r="L20" s="6"/>
      <c r="M20" s="7"/>
      <c r="N20" s="5">
        <f>SUM(N24:N35)</f>
        <v>693090846</v>
      </c>
      <c r="R20" s="5">
        <f>SUM(R24:R35)</f>
        <v>693090846</v>
      </c>
    </row>
    <row r="21" spans="2:18" x14ac:dyDescent="0.35">
      <c r="B21" s="8"/>
      <c r="C21" s="8"/>
      <c r="D21" s="8"/>
      <c r="E21" s="8"/>
      <c r="F21" s="8" t="s">
        <v>25</v>
      </c>
      <c r="H21" s="9"/>
    </row>
    <row r="22" spans="2:18" x14ac:dyDescent="0.35">
      <c r="B22" s="8"/>
      <c r="C22" s="8"/>
      <c r="D22" s="8"/>
      <c r="E22" s="8"/>
      <c r="F22" s="8"/>
      <c r="G22" t="s">
        <v>79</v>
      </c>
      <c r="H22" s="9"/>
    </row>
    <row r="23" spans="2:18" x14ac:dyDescent="0.35">
      <c r="B23" s="8"/>
      <c r="C23" s="8"/>
      <c r="D23" s="8"/>
      <c r="E23" s="8"/>
      <c r="F23" s="8"/>
      <c r="H23" s="9" t="s">
        <v>26</v>
      </c>
    </row>
    <row r="24" spans="2:18" x14ac:dyDescent="0.35">
      <c r="B24" s="8"/>
      <c r="C24" s="8"/>
      <c r="D24" s="8"/>
      <c r="E24" s="8"/>
      <c r="F24" s="8"/>
      <c r="H24" s="9"/>
      <c r="I24" t="s">
        <v>27</v>
      </c>
      <c r="K24">
        <v>1</v>
      </c>
      <c r="L24" t="s">
        <v>28</v>
      </c>
      <c r="M24" s="1">
        <v>543518200</v>
      </c>
      <c r="N24" s="1">
        <v>543518200</v>
      </c>
      <c r="O24">
        <v>1</v>
      </c>
      <c r="P24" t="s">
        <v>28</v>
      </c>
      <c r="Q24" s="1">
        <v>543518200</v>
      </c>
      <c r="R24" s="1">
        <v>543518200</v>
      </c>
    </row>
    <row r="25" spans="2:18" x14ac:dyDescent="0.35">
      <c r="B25" s="8"/>
      <c r="C25" s="8"/>
      <c r="D25" s="8"/>
      <c r="E25" s="8"/>
      <c r="F25" s="8"/>
      <c r="H25" s="9" t="s">
        <v>29</v>
      </c>
      <c r="Q25" s="1"/>
      <c r="R25" s="1"/>
    </row>
    <row r="26" spans="2:18" x14ac:dyDescent="0.35">
      <c r="B26" s="8"/>
      <c r="C26" s="8"/>
      <c r="D26" s="8"/>
      <c r="E26" s="8"/>
      <c r="F26" s="8"/>
      <c r="H26" s="9"/>
      <c r="I26" t="s">
        <v>30</v>
      </c>
      <c r="K26">
        <v>1</v>
      </c>
      <c r="L26" t="s">
        <v>28</v>
      </c>
      <c r="M26" s="1">
        <v>135191000</v>
      </c>
      <c r="N26" s="1">
        <v>135191000</v>
      </c>
      <c r="O26">
        <v>1</v>
      </c>
      <c r="P26" t="s">
        <v>28</v>
      </c>
      <c r="Q26" s="1">
        <v>135191000</v>
      </c>
      <c r="R26" s="1">
        <v>135191000</v>
      </c>
    </row>
    <row r="27" spans="2:18" x14ac:dyDescent="0.35">
      <c r="B27" s="8"/>
      <c r="C27" s="8"/>
      <c r="D27" s="8"/>
      <c r="E27" s="8"/>
      <c r="F27" s="8"/>
      <c r="H27" s="9" t="s">
        <v>31</v>
      </c>
      <c r="Q27" s="1"/>
      <c r="R27" s="1"/>
    </row>
    <row r="28" spans="2:18" x14ac:dyDescent="0.35">
      <c r="B28" s="8"/>
      <c r="C28" s="8"/>
      <c r="D28" s="8"/>
      <c r="E28" s="8"/>
      <c r="F28" s="8"/>
      <c r="H28" s="9"/>
      <c r="I28" t="s">
        <v>32</v>
      </c>
      <c r="K28">
        <v>1</v>
      </c>
      <c r="L28" t="s">
        <v>28</v>
      </c>
      <c r="M28" s="1">
        <v>331646</v>
      </c>
      <c r="N28" s="1">
        <v>331646</v>
      </c>
      <c r="O28">
        <v>1</v>
      </c>
      <c r="P28" t="s">
        <v>28</v>
      </c>
      <c r="Q28" s="1">
        <v>331646</v>
      </c>
      <c r="R28" s="1">
        <v>331646</v>
      </c>
    </row>
    <row r="29" spans="2:18" x14ac:dyDescent="0.35">
      <c r="B29" s="8"/>
      <c r="C29" s="8"/>
      <c r="D29" s="8"/>
      <c r="E29" s="8"/>
      <c r="F29" s="8"/>
      <c r="H29" s="9" t="s">
        <v>33</v>
      </c>
      <c r="Q29" s="1"/>
      <c r="R29" s="1"/>
    </row>
    <row r="30" spans="2:18" x14ac:dyDescent="0.35">
      <c r="B30" s="8"/>
      <c r="C30" s="8"/>
      <c r="D30" s="8"/>
      <c r="E30" s="8"/>
      <c r="F30" s="8"/>
      <c r="H30" s="9"/>
      <c r="I30" t="s">
        <v>34</v>
      </c>
      <c r="K30">
        <v>1</v>
      </c>
      <c r="L30" t="s">
        <v>28</v>
      </c>
      <c r="M30" s="1">
        <v>1100000</v>
      </c>
      <c r="N30" s="1">
        <v>1100000</v>
      </c>
      <c r="O30">
        <v>1</v>
      </c>
      <c r="P30" t="s">
        <v>28</v>
      </c>
      <c r="Q30" s="1">
        <v>0</v>
      </c>
      <c r="R30" s="1">
        <v>0</v>
      </c>
    </row>
    <row r="31" spans="2:18" x14ac:dyDescent="0.35">
      <c r="B31" s="8"/>
      <c r="C31" s="8"/>
      <c r="D31" s="8"/>
      <c r="E31" s="8"/>
      <c r="F31" s="8"/>
      <c r="H31" s="16" t="s">
        <v>37</v>
      </c>
    </row>
    <row r="32" spans="2:18" x14ac:dyDescent="0.35">
      <c r="B32" s="8"/>
      <c r="C32" s="8"/>
      <c r="D32" s="8"/>
      <c r="E32" s="8"/>
      <c r="F32" s="8"/>
      <c r="H32" s="9"/>
      <c r="I32" s="17" t="s">
        <v>38</v>
      </c>
      <c r="K32">
        <v>1</v>
      </c>
      <c r="L32" t="s">
        <v>28</v>
      </c>
      <c r="M32" s="1">
        <v>0</v>
      </c>
      <c r="N32" s="1">
        <v>0</v>
      </c>
      <c r="O32">
        <v>1</v>
      </c>
      <c r="P32" t="s">
        <v>28</v>
      </c>
      <c r="Q32" s="1">
        <v>1150000</v>
      </c>
      <c r="R32" s="1">
        <v>1150000</v>
      </c>
    </row>
    <row r="33" spans="2:20" x14ac:dyDescent="0.35">
      <c r="B33" s="8"/>
      <c r="C33" s="8"/>
      <c r="D33" s="8"/>
      <c r="E33" s="8"/>
      <c r="F33" s="8"/>
      <c r="H33" s="9" t="s">
        <v>35</v>
      </c>
    </row>
    <row r="34" spans="2:20" x14ac:dyDescent="0.35">
      <c r="B34" s="8"/>
      <c r="C34" s="8"/>
      <c r="D34" s="8"/>
      <c r="E34" s="8"/>
      <c r="F34" s="8"/>
      <c r="H34" s="9"/>
      <c r="I34" t="s">
        <v>36</v>
      </c>
      <c r="K34">
        <v>1</v>
      </c>
      <c r="L34" t="s">
        <v>28</v>
      </c>
      <c r="M34" s="1">
        <v>12950000</v>
      </c>
      <c r="N34" s="1">
        <v>12950000</v>
      </c>
      <c r="O34">
        <v>1</v>
      </c>
      <c r="P34" t="s">
        <v>28</v>
      </c>
      <c r="Q34" s="1">
        <v>12900000</v>
      </c>
      <c r="R34" s="1">
        <v>12900000</v>
      </c>
    </row>
    <row r="35" spans="2:20" x14ac:dyDescent="0.35">
      <c r="B35" s="8"/>
      <c r="C35" s="8"/>
      <c r="D35" s="8" t="s">
        <v>39</v>
      </c>
      <c r="E35" s="8"/>
      <c r="F35" s="8"/>
      <c r="H35" s="9"/>
      <c r="T35" s="11"/>
    </row>
    <row r="36" spans="2:20" x14ac:dyDescent="0.35">
      <c r="B36" s="8"/>
      <c r="C36" s="8"/>
      <c r="D36" s="8"/>
      <c r="E36" s="8" t="s">
        <v>40</v>
      </c>
      <c r="F36" s="8"/>
      <c r="H36" s="9"/>
      <c r="T36" s="11"/>
    </row>
    <row r="37" spans="2:20" x14ac:dyDescent="0.35">
      <c r="B37" s="8"/>
      <c r="C37" s="8"/>
      <c r="D37" s="8"/>
      <c r="E37" s="8"/>
      <c r="F37" s="4" t="s">
        <v>41</v>
      </c>
      <c r="G37" s="6"/>
      <c r="H37" s="10"/>
      <c r="I37" s="6"/>
      <c r="J37" s="6"/>
      <c r="K37" s="6"/>
      <c r="L37" s="6"/>
      <c r="M37" s="7"/>
      <c r="N37" s="5">
        <v>523628177</v>
      </c>
      <c r="O37" s="6"/>
      <c r="P37" s="6"/>
      <c r="Q37" s="7"/>
      <c r="R37" s="5">
        <f>SUM(R38:R78)</f>
        <v>505778177</v>
      </c>
      <c r="T37" s="11"/>
    </row>
    <row r="38" spans="2:20" x14ac:dyDescent="0.35">
      <c r="B38" s="8"/>
      <c r="C38" s="8"/>
      <c r="D38" s="8"/>
      <c r="E38" s="8"/>
      <c r="F38" s="8" t="s">
        <v>25</v>
      </c>
      <c r="H38" s="9"/>
      <c r="Q38" s="1"/>
      <c r="R38" s="1"/>
      <c r="T38" s="11"/>
    </row>
    <row r="39" spans="2:20" x14ac:dyDescent="0.35">
      <c r="B39" s="8"/>
      <c r="C39" s="8"/>
      <c r="D39" s="8"/>
      <c r="E39" s="8"/>
      <c r="F39" s="8"/>
      <c r="G39" t="s">
        <v>42</v>
      </c>
      <c r="H39" s="9"/>
      <c r="Q39" s="1"/>
      <c r="R39" s="1"/>
      <c r="T39" s="11"/>
    </row>
    <row r="40" spans="2:20" x14ac:dyDescent="0.35">
      <c r="B40" s="8"/>
      <c r="C40" s="8"/>
      <c r="D40" s="8"/>
      <c r="E40" s="8"/>
      <c r="F40" s="8"/>
      <c r="H40" s="9" t="s">
        <v>26</v>
      </c>
      <c r="Q40" s="1"/>
      <c r="R40" s="1"/>
      <c r="T40" s="11"/>
    </row>
    <row r="41" spans="2:20" x14ac:dyDescent="0.35">
      <c r="B41" s="8"/>
      <c r="C41" s="8"/>
      <c r="D41" s="8"/>
      <c r="E41" s="8"/>
      <c r="F41" s="8"/>
      <c r="H41" s="9"/>
      <c r="I41" t="s">
        <v>43</v>
      </c>
      <c r="K41">
        <v>133</v>
      </c>
      <c r="L41" t="s">
        <v>44</v>
      </c>
      <c r="M41" s="1">
        <v>700000</v>
      </c>
      <c r="N41" s="1">
        <v>93100000</v>
      </c>
      <c r="O41">
        <v>100</v>
      </c>
      <c r="P41" t="s">
        <v>44</v>
      </c>
      <c r="Q41" s="1">
        <v>700000</v>
      </c>
      <c r="R41" s="1">
        <v>70000000</v>
      </c>
      <c r="T41" s="11"/>
    </row>
    <row r="42" spans="2:20" x14ac:dyDescent="0.35">
      <c r="B42" s="8"/>
      <c r="C42" s="8"/>
      <c r="D42" s="8"/>
      <c r="E42" s="8"/>
      <c r="F42" s="8"/>
      <c r="H42" s="9" t="s">
        <v>45</v>
      </c>
      <c r="Q42" s="1"/>
      <c r="R42" s="1"/>
      <c r="T42" s="11"/>
    </row>
    <row r="43" spans="2:20" x14ac:dyDescent="0.35">
      <c r="B43" s="8"/>
      <c r="C43" s="8"/>
      <c r="D43" s="8"/>
      <c r="E43" s="8"/>
      <c r="F43" s="8"/>
      <c r="H43" s="9"/>
      <c r="I43" t="s">
        <v>46</v>
      </c>
      <c r="K43">
        <v>1</v>
      </c>
      <c r="L43" t="s">
        <v>28</v>
      </c>
      <c r="M43" s="1">
        <v>4070277</v>
      </c>
      <c r="N43" s="1">
        <v>4070277</v>
      </c>
      <c r="O43">
        <v>1</v>
      </c>
      <c r="P43" t="s">
        <v>28</v>
      </c>
      <c r="Q43" s="1">
        <v>4070277</v>
      </c>
      <c r="R43" s="1">
        <v>4070277</v>
      </c>
      <c r="T43" s="11"/>
    </row>
    <row r="44" spans="2:20" x14ac:dyDescent="0.35">
      <c r="B44" s="8"/>
      <c r="C44" s="8"/>
      <c r="D44" s="8"/>
      <c r="E44" s="8"/>
      <c r="F44" s="8"/>
      <c r="H44" s="9" t="s">
        <v>35</v>
      </c>
      <c r="Q44" s="1"/>
      <c r="R44" s="1"/>
      <c r="T44" s="11"/>
    </row>
    <row r="45" spans="2:20" x14ac:dyDescent="0.35">
      <c r="B45" s="8"/>
      <c r="C45" s="8"/>
      <c r="D45" s="8"/>
      <c r="E45" s="8"/>
      <c r="F45" s="8"/>
      <c r="H45" s="9"/>
      <c r="I45" t="s">
        <v>47</v>
      </c>
      <c r="K45">
        <v>12</v>
      </c>
      <c r="L45" t="s">
        <v>28</v>
      </c>
      <c r="M45" s="1">
        <v>1000000</v>
      </c>
      <c r="N45" s="1">
        <v>12000000</v>
      </c>
      <c r="O45">
        <v>12</v>
      </c>
      <c r="P45" t="s">
        <v>28</v>
      </c>
      <c r="Q45" s="1">
        <v>1000000</v>
      </c>
      <c r="R45" s="1">
        <v>12000000</v>
      </c>
      <c r="T45" s="11"/>
    </row>
    <row r="46" spans="2:20" x14ac:dyDescent="0.35">
      <c r="B46" s="8"/>
      <c r="C46" s="8"/>
      <c r="D46" s="8"/>
      <c r="E46" s="8"/>
      <c r="F46" s="8"/>
      <c r="H46" s="9" t="s">
        <v>48</v>
      </c>
      <c r="Q46" s="1"/>
      <c r="R46" s="1"/>
      <c r="T46" s="11"/>
    </row>
    <row r="47" spans="2:20" x14ac:dyDescent="0.35">
      <c r="B47" s="8"/>
      <c r="C47" s="8"/>
      <c r="D47" s="8"/>
      <c r="E47" s="8"/>
      <c r="F47" s="8"/>
      <c r="H47" s="9"/>
      <c r="I47" t="s">
        <v>49</v>
      </c>
      <c r="K47">
        <v>5</v>
      </c>
      <c r="L47" t="s">
        <v>50</v>
      </c>
      <c r="M47" s="1">
        <v>0</v>
      </c>
      <c r="N47" s="1">
        <v>0</v>
      </c>
      <c r="O47">
        <v>5</v>
      </c>
      <c r="P47" t="s">
        <v>50</v>
      </c>
      <c r="Q47" s="1">
        <v>0</v>
      </c>
      <c r="R47" s="1">
        <v>0</v>
      </c>
      <c r="T47" s="11"/>
    </row>
    <row r="48" spans="2:20" x14ac:dyDescent="0.35">
      <c r="B48" s="8"/>
      <c r="C48" s="8"/>
      <c r="D48" s="8"/>
      <c r="E48" s="8"/>
      <c r="F48" s="8"/>
      <c r="H48" s="9" t="s">
        <v>51</v>
      </c>
      <c r="Q48" s="1"/>
      <c r="R48" s="1"/>
      <c r="T48" s="11"/>
    </row>
    <row r="49" spans="2:20" x14ac:dyDescent="0.35">
      <c r="B49" s="8"/>
      <c r="C49" s="8"/>
      <c r="D49" s="8"/>
      <c r="E49" s="8"/>
      <c r="F49" s="8"/>
      <c r="H49" s="9"/>
      <c r="I49" t="s">
        <v>52</v>
      </c>
      <c r="K49">
        <v>1</v>
      </c>
      <c r="L49" t="s">
        <v>28</v>
      </c>
      <c r="M49" s="1">
        <v>13909900</v>
      </c>
      <c r="N49" s="1">
        <v>13909900</v>
      </c>
      <c r="O49">
        <v>1</v>
      </c>
      <c r="P49" t="s">
        <v>28</v>
      </c>
      <c r="Q49" s="1">
        <v>13909900</v>
      </c>
      <c r="R49" s="1">
        <v>13909900</v>
      </c>
      <c r="T49" s="11"/>
    </row>
    <row r="50" spans="2:20" x14ac:dyDescent="0.35">
      <c r="B50" s="8"/>
      <c r="C50" s="8"/>
      <c r="D50" s="8"/>
      <c r="E50" s="8"/>
      <c r="F50" s="8"/>
      <c r="H50" s="9" t="s">
        <v>53</v>
      </c>
      <c r="Q50" s="1"/>
      <c r="R50" s="1"/>
      <c r="T50" s="11"/>
    </row>
    <row r="51" spans="2:20" x14ac:dyDescent="0.35">
      <c r="B51" s="8"/>
      <c r="C51" s="8"/>
      <c r="D51" s="8"/>
      <c r="E51" s="8"/>
      <c r="F51" s="8"/>
      <c r="H51" s="9"/>
      <c r="I51" t="s">
        <v>54</v>
      </c>
      <c r="K51">
        <v>12</v>
      </c>
      <c r="L51" t="s">
        <v>50</v>
      </c>
      <c r="M51" s="1">
        <v>1000000</v>
      </c>
      <c r="N51" s="1">
        <v>12000000</v>
      </c>
      <c r="O51">
        <v>12</v>
      </c>
      <c r="P51" t="s">
        <v>50</v>
      </c>
      <c r="Q51" s="1">
        <v>1000000</v>
      </c>
      <c r="R51" s="1">
        <v>12000000</v>
      </c>
      <c r="T51" s="11"/>
    </row>
    <row r="52" spans="2:20" x14ac:dyDescent="0.35">
      <c r="B52" s="8"/>
      <c r="C52" s="8"/>
      <c r="D52" s="8"/>
      <c r="E52" s="8"/>
      <c r="F52" s="8"/>
      <c r="H52" s="9" t="s">
        <v>55</v>
      </c>
      <c r="Q52" s="1"/>
      <c r="R52" s="1"/>
      <c r="T52" s="11"/>
    </row>
    <row r="53" spans="2:20" x14ac:dyDescent="0.35">
      <c r="B53" s="8"/>
      <c r="C53" s="8"/>
      <c r="D53" s="8"/>
      <c r="E53" s="8"/>
      <c r="F53" s="8"/>
      <c r="H53" s="9"/>
      <c r="I53" t="s">
        <v>56</v>
      </c>
      <c r="K53">
        <v>20</v>
      </c>
      <c r="L53" t="s">
        <v>57</v>
      </c>
      <c r="M53" s="1">
        <v>6800000</v>
      </c>
      <c r="N53" s="1">
        <v>136000000</v>
      </c>
      <c r="O53">
        <v>20</v>
      </c>
      <c r="P53" t="s">
        <v>57</v>
      </c>
      <c r="Q53" s="1">
        <v>6800000</v>
      </c>
      <c r="R53" s="1">
        <v>136000000</v>
      </c>
      <c r="T53" s="11"/>
    </row>
    <row r="54" spans="2:20" x14ac:dyDescent="0.35">
      <c r="B54" s="8"/>
      <c r="C54" s="8"/>
      <c r="D54" s="8"/>
      <c r="E54" s="8"/>
      <c r="F54" s="8"/>
      <c r="H54" s="9" t="s">
        <v>37</v>
      </c>
      <c r="Q54" s="1"/>
      <c r="R54" s="1"/>
      <c r="T54" s="11"/>
    </row>
    <row r="55" spans="2:20" x14ac:dyDescent="0.35">
      <c r="B55" s="8"/>
      <c r="C55" s="8"/>
      <c r="D55" s="8"/>
      <c r="E55" s="8"/>
      <c r="F55" s="8"/>
      <c r="H55" s="9"/>
      <c r="I55" t="s">
        <v>58</v>
      </c>
      <c r="K55">
        <v>15</v>
      </c>
      <c r="L55" t="s">
        <v>28</v>
      </c>
      <c r="M55" s="1">
        <v>1500000</v>
      </c>
      <c r="N55" s="1">
        <v>22500000</v>
      </c>
      <c r="O55">
        <v>15</v>
      </c>
      <c r="P55" t="s">
        <v>28</v>
      </c>
      <c r="Q55" s="1">
        <v>1500000</v>
      </c>
      <c r="R55" s="1">
        <v>22500000</v>
      </c>
      <c r="T55" s="11"/>
    </row>
    <row r="56" spans="2:20" x14ac:dyDescent="0.35">
      <c r="B56" s="8"/>
      <c r="C56" s="8"/>
      <c r="D56" s="8"/>
      <c r="E56" s="8"/>
      <c r="F56" s="8"/>
      <c r="H56" s="9" t="s">
        <v>29</v>
      </c>
      <c r="Q56" s="1"/>
      <c r="R56" s="1"/>
      <c r="T56" s="11"/>
    </row>
    <row r="57" spans="2:20" x14ac:dyDescent="0.35">
      <c r="B57" s="8"/>
      <c r="C57" s="8"/>
      <c r="D57" s="8"/>
      <c r="E57" s="8"/>
      <c r="F57" s="8"/>
      <c r="H57" s="9"/>
      <c r="I57" t="s">
        <v>59</v>
      </c>
      <c r="K57">
        <v>44</v>
      </c>
      <c r="L57" t="s">
        <v>60</v>
      </c>
      <c r="M57" s="1">
        <v>430000</v>
      </c>
      <c r="N57" s="1">
        <v>18920000</v>
      </c>
      <c r="O57">
        <v>44</v>
      </c>
      <c r="P57" t="s">
        <v>60</v>
      </c>
      <c r="Q57" s="1">
        <v>430000</v>
      </c>
      <c r="R57" s="1">
        <v>18920000</v>
      </c>
      <c r="T57" s="11"/>
    </row>
    <row r="58" spans="2:20" x14ac:dyDescent="0.35">
      <c r="B58" s="8"/>
      <c r="C58" s="8"/>
      <c r="D58" s="8"/>
      <c r="E58" s="8"/>
      <c r="F58" s="8"/>
      <c r="H58" s="9"/>
      <c r="I58" t="s">
        <v>61</v>
      </c>
      <c r="K58">
        <v>44</v>
      </c>
      <c r="L58" t="s">
        <v>62</v>
      </c>
      <c r="M58" s="1">
        <v>500000</v>
      </c>
      <c r="N58" s="1">
        <v>22000000</v>
      </c>
      <c r="O58">
        <v>44</v>
      </c>
      <c r="P58" t="s">
        <v>62</v>
      </c>
      <c r="Q58" s="1">
        <v>500000</v>
      </c>
      <c r="R58" s="1">
        <v>22000000</v>
      </c>
      <c r="T58" s="11"/>
    </row>
    <row r="59" spans="2:20" x14ac:dyDescent="0.35">
      <c r="B59" s="8"/>
      <c r="C59" s="8"/>
      <c r="D59" s="8"/>
      <c r="E59" s="8"/>
      <c r="F59" s="8"/>
      <c r="H59" s="9"/>
      <c r="I59" t="s">
        <v>63</v>
      </c>
      <c r="K59">
        <v>22</v>
      </c>
      <c r="L59" t="s">
        <v>60</v>
      </c>
      <c r="M59" s="1">
        <v>430000</v>
      </c>
      <c r="N59" s="1">
        <v>9460000</v>
      </c>
      <c r="O59">
        <v>22</v>
      </c>
      <c r="P59" t="s">
        <v>60</v>
      </c>
      <c r="Q59" s="1">
        <v>430000</v>
      </c>
      <c r="R59" s="1">
        <v>9460000</v>
      </c>
      <c r="T59" s="11"/>
    </row>
    <row r="60" spans="2:20" x14ac:dyDescent="0.35">
      <c r="B60" s="8"/>
      <c r="C60" s="8"/>
      <c r="D60" s="8"/>
      <c r="E60" s="8"/>
      <c r="F60" s="8"/>
      <c r="H60" s="9"/>
      <c r="I60" t="s">
        <v>64</v>
      </c>
      <c r="K60">
        <v>57</v>
      </c>
      <c r="L60" t="s">
        <v>62</v>
      </c>
      <c r="M60" s="1">
        <v>424000</v>
      </c>
      <c r="N60" s="1">
        <v>24168000</v>
      </c>
      <c r="O60">
        <v>57</v>
      </c>
      <c r="P60" t="s">
        <v>62</v>
      </c>
      <c r="Q60" s="1">
        <v>424000</v>
      </c>
      <c r="R60" s="1">
        <v>24168000</v>
      </c>
      <c r="T60" s="11"/>
    </row>
    <row r="61" spans="2:20" x14ac:dyDescent="0.35">
      <c r="B61" s="8"/>
      <c r="C61" s="8"/>
      <c r="D61" s="8"/>
      <c r="E61" s="8"/>
      <c r="F61" s="8"/>
      <c r="H61" s="9" t="s">
        <v>26</v>
      </c>
      <c r="Q61" s="1"/>
      <c r="R61" s="1"/>
      <c r="T61" s="11"/>
    </row>
    <row r="62" spans="2:20" x14ac:dyDescent="0.35">
      <c r="B62" s="8"/>
      <c r="C62" s="8"/>
      <c r="D62" s="8"/>
      <c r="E62" s="8"/>
      <c r="F62" s="8"/>
      <c r="H62" s="9"/>
      <c r="I62" t="s">
        <v>80</v>
      </c>
      <c r="K62">
        <v>70</v>
      </c>
      <c r="L62" t="s">
        <v>60</v>
      </c>
      <c r="M62" s="1">
        <v>175000</v>
      </c>
      <c r="N62" s="1">
        <v>12250000</v>
      </c>
      <c r="O62">
        <v>100</v>
      </c>
      <c r="P62" t="s">
        <v>60</v>
      </c>
      <c r="Q62" s="1">
        <v>175000</v>
      </c>
      <c r="R62" s="1">
        <v>17500000</v>
      </c>
      <c r="T62" s="11"/>
    </row>
    <row r="63" spans="2:20" x14ac:dyDescent="0.35">
      <c r="B63" s="8"/>
      <c r="C63" s="8"/>
      <c r="D63" s="8"/>
      <c r="E63" s="8"/>
      <c r="F63" s="8"/>
      <c r="H63" s="9" t="s">
        <v>65</v>
      </c>
      <c r="Q63" s="1"/>
      <c r="R63" s="1"/>
      <c r="T63" s="11"/>
    </row>
    <row r="64" spans="2:20" x14ac:dyDescent="0.35">
      <c r="B64" s="8"/>
      <c r="C64" s="8"/>
      <c r="D64" s="8"/>
      <c r="E64" s="8"/>
      <c r="F64" s="8"/>
      <c r="H64" s="9"/>
      <c r="I64" t="s">
        <v>66</v>
      </c>
      <c r="K64">
        <v>2800</v>
      </c>
      <c r="L64" t="s">
        <v>67</v>
      </c>
      <c r="M64" s="1">
        <v>22000</v>
      </c>
      <c r="N64" s="1">
        <v>61600000</v>
      </c>
      <c r="O64">
        <v>2800</v>
      </c>
      <c r="P64" t="s">
        <v>67</v>
      </c>
      <c r="Q64" s="1">
        <v>22000</v>
      </c>
      <c r="R64" s="1">
        <v>61600000</v>
      </c>
      <c r="T64" s="11"/>
    </row>
    <row r="65" spans="2:20" x14ac:dyDescent="0.35">
      <c r="B65" s="8"/>
      <c r="C65" s="8"/>
      <c r="D65" s="8"/>
      <c r="E65" s="8"/>
      <c r="F65" s="8"/>
      <c r="H65" s="9" t="s">
        <v>33</v>
      </c>
      <c r="Q65" s="1"/>
      <c r="R65" s="1"/>
      <c r="T65" s="11"/>
    </row>
    <row r="66" spans="2:20" x14ac:dyDescent="0.35">
      <c r="B66" s="8"/>
      <c r="C66" s="8"/>
      <c r="D66" s="8"/>
      <c r="E66" s="8"/>
      <c r="F66" s="8"/>
      <c r="H66" s="9"/>
      <c r="I66" t="s">
        <v>68</v>
      </c>
      <c r="K66">
        <v>1</v>
      </c>
      <c r="L66" t="s">
        <v>69</v>
      </c>
      <c r="M66" s="1">
        <v>150000</v>
      </c>
      <c r="N66" s="1">
        <v>150000</v>
      </c>
      <c r="O66">
        <v>1</v>
      </c>
      <c r="P66" t="s">
        <v>69</v>
      </c>
      <c r="Q66" s="1">
        <v>150000</v>
      </c>
      <c r="R66" s="1">
        <v>150000</v>
      </c>
      <c r="T66" s="11"/>
    </row>
    <row r="67" spans="2:20" x14ac:dyDescent="0.35">
      <c r="B67" s="8"/>
      <c r="C67" s="8"/>
      <c r="D67" s="8"/>
      <c r="E67" s="8"/>
      <c r="F67" s="8"/>
      <c r="H67" s="9" t="s">
        <v>70</v>
      </c>
      <c r="Q67" s="1"/>
      <c r="R67" s="1"/>
      <c r="T67" s="11"/>
    </row>
    <row r="68" spans="2:20" x14ac:dyDescent="0.35">
      <c r="B68" s="8"/>
      <c r="C68" s="8"/>
      <c r="D68" s="8"/>
      <c r="E68" s="8"/>
      <c r="F68" s="8"/>
      <c r="H68" s="9"/>
      <c r="I68" t="s">
        <v>81</v>
      </c>
      <c r="K68">
        <v>1</v>
      </c>
      <c r="L68" t="s">
        <v>71</v>
      </c>
      <c r="M68" s="1">
        <v>3000000</v>
      </c>
      <c r="N68" s="1">
        <v>3000000</v>
      </c>
      <c r="O68">
        <v>1</v>
      </c>
      <c r="P68" t="s">
        <v>71</v>
      </c>
      <c r="Q68" s="1">
        <v>3000000</v>
      </c>
      <c r="R68" s="1">
        <v>3000000</v>
      </c>
      <c r="T68" s="11"/>
    </row>
    <row r="69" spans="2:20" x14ac:dyDescent="0.35">
      <c r="B69" s="8"/>
      <c r="C69" s="8"/>
      <c r="D69" s="8"/>
      <c r="E69" s="8"/>
      <c r="F69" s="8"/>
      <c r="H69" s="9" t="s">
        <v>35</v>
      </c>
      <c r="Q69" s="1"/>
      <c r="R69" s="1"/>
      <c r="T69" s="11"/>
    </row>
    <row r="70" spans="2:20" x14ac:dyDescent="0.35">
      <c r="B70" s="8"/>
      <c r="C70" s="8"/>
      <c r="D70" s="8"/>
      <c r="E70" s="8"/>
      <c r="F70" s="8"/>
      <c r="H70" s="9"/>
      <c r="I70" t="s">
        <v>82</v>
      </c>
      <c r="K70">
        <v>22</v>
      </c>
      <c r="L70" t="s">
        <v>69</v>
      </c>
      <c r="M70" s="1">
        <v>250000</v>
      </c>
      <c r="N70" s="1">
        <v>5500000</v>
      </c>
      <c r="O70">
        <v>22</v>
      </c>
      <c r="P70" t="s">
        <v>69</v>
      </c>
      <c r="Q70" s="1">
        <v>250000</v>
      </c>
      <c r="R70" s="1">
        <v>5500000</v>
      </c>
      <c r="T70" s="11"/>
    </row>
    <row r="71" spans="2:20" x14ac:dyDescent="0.35">
      <c r="B71" s="8"/>
      <c r="C71" s="8"/>
      <c r="D71" s="8"/>
      <c r="E71" s="8"/>
      <c r="F71" s="8"/>
      <c r="H71" s="9" t="s">
        <v>72</v>
      </c>
      <c r="Q71" s="1"/>
      <c r="R71" s="1"/>
      <c r="T71" s="11"/>
    </row>
    <row r="72" spans="2:20" x14ac:dyDescent="0.35">
      <c r="B72" s="8"/>
      <c r="C72" s="8"/>
      <c r="D72" s="8"/>
      <c r="E72" s="8"/>
      <c r="F72" s="8"/>
      <c r="H72" s="9"/>
      <c r="I72" t="s">
        <v>83</v>
      </c>
      <c r="K72">
        <v>30</v>
      </c>
      <c r="L72" t="s">
        <v>28</v>
      </c>
      <c r="M72" s="1">
        <v>300000</v>
      </c>
      <c r="N72" s="1">
        <v>9000000</v>
      </c>
      <c r="O72">
        <v>30</v>
      </c>
      <c r="P72" t="s">
        <v>28</v>
      </c>
      <c r="Q72" s="1">
        <v>300000</v>
      </c>
      <c r="R72" s="1">
        <v>9000000</v>
      </c>
      <c r="T72" s="11"/>
    </row>
    <row r="73" spans="2:20" x14ac:dyDescent="0.35">
      <c r="B73" s="8"/>
      <c r="C73" s="8"/>
      <c r="D73" s="8"/>
      <c r="E73" s="8"/>
      <c r="F73" s="8"/>
      <c r="H73" s="9" t="s">
        <v>73</v>
      </c>
      <c r="Q73" s="1"/>
      <c r="R73" s="1"/>
      <c r="T73" s="11"/>
    </row>
    <row r="74" spans="2:20" x14ac:dyDescent="0.35">
      <c r="B74" s="8"/>
      <c r="C74" s="8"/>
      <c r="D74" s="8"/>
      <c r="E74" s="8"/>
      <c r="F74" s="8"/>
      <c r="H74" s="9"/>
      <c r="I74" t="s">
        <v>84</v>
      </c>
      <c r="K74">
        <v>4</v>
      </c>
      <c r="L74" t="s">
        <v>74</v>
      </c>
      <c r="M74" s="1">
        <v>8000000</v>
      </c>
      <c r="N74" s="1">
        <v>32000000</v>
      </c>
      <c r="O74">
        <v>4</v>
      </c>
      <c r="P74" t="s">
        <v>74</v>
      </c>
      <c r="Q74" s="1">
        <v>8000000</v>
      </c>
      <c r="R74" s="1">
        <v>32000000</v>
      </c>
      <c r="T74" s="11"/>
    </row>
    <row r="75" spans="2:20" x14ac:dyDescent="0.35">
      <c r="B75" s="8"/>
      <c r="C75" s="8"/>
      <c r="D75" s="8"/>
      <c r="E75" s="8"/>
      <c r="F75" s="8"/>
      <c r="H75" s="9" t="s">
        <v>75</v>
      </c>
      <c r="Q75" s="1"/>
      <c r="R75" s="1"/>
      <c r="T75" s="11"/>
    </row>
    <row r="76" spans="2:20" x14ac:dyDescent="0.35">
      <c r="B76" s="8"/>
      <c r="C76" s="8"/>
      <c r="D76" s="8"/>
      <c r="E76" s="8"/>
      <c r="F76" s="8"/>
      <c r="H76" s="9"/>
      <c r="I76" t="s">
        <v>85</v>
      </c>
      <c r="K76">
        <v>2</v>
      </c>
      <c r="L76" t="s">
        <v>28</v>
      </c>
      <c r="M76" s="1">
        <v>2000000</v>
      </c>
      <c r="N76" s="1">
        <v>4000000</v>
      </c>
      <c r="O76">
        <v>2</v>
      </c>
      <c r="P76" t="s">
        <v>28</v>
      </c>
      <c r="Q76" s="1">
        <v>2000000</v>
      </c>
      <c r="R76" s="1">
        <v>4000000</v>
      </c>
      <c r="T76" s="11"/>
    </row>
    <row r="77" spans="2:20" x14ac:dyDescent="0.35">
      <c r="B77" s="8"/>
      <c r="C77" s="8"/>
      <c r="D77" s="8"/>
      <c r="E77" s="8"/>
      <c r="F77" s="8"/>
      <c r="H77" s="9" t="s">
        <v>76</v>
      </c>
      <c r="Q77" s="1"/>
      <c r="R77" s="1"/>
      <c r="T77" s="11"/>
    </row>
    <row r="78" spans="2:20" x14ac:dyDescent="0.35">
      <c r="B78" s="8"/>
      <c r="C78" s="8"/>
      <c r="D78" s="8"/>
      <c r="E78" s="8"/>
      <c r="F78" s="8"/>
      <c r="H78" s="9"/>
      <c r="I78" t="s">
        <v>77</v>
      </c>
      <c r="K78">
        <v>4</v>
      </c>
      <c r="L78" t="s">
        <v>28</v>
      </c>
      <c r="M78" s="1">
        <v>7000000</v>
      </c>
      <c r="N78" s="1">
        <v>28000000</v>
      </c>
      <c r="O78">
        <v>4</v>
      </c>
      <c r="P78" t="s">
        <v>28</v>
      </c>
      <c r="Q78" s="1">
        <v>7000000</v>
      </c>
      <c r="R78" s="1">
        <v>28000000</v>
      </c>
      <c r="T78" s="11"/>
    </row>
    <row r="79" spans="2:20" x14ac:dyDescent="0.35">
      <c r="T79" s="11"/>
    </row>
    <row r="80" spans="2:20" x14ac:dyDescent="0.35">
      <c r="T80" s="11"/>
    </row>
    <row r="81" spans="20:20" x14ac:dyDescent="0.35">
      <c r="T81" s="11"/>
    </row>
    <row r="82" spans="20:20" x14ac:dyDescent="0.35">
      <c r="T82" s="11"/>
    </row>
    <row r="83" spans="20:20" x14ac:dyDescent="0.35">
      <c r="T83" s="11"/>
    </row>
    <row r="84" spans="20:20" x14ac:dyDescent="0.35">
      <c r="T84" s="11"/>
    </row>
  </sheetData>
  <sheetProtection formatCells="0" formatColumns="0" formatRows="0" insertColumns="0" insertRows="0" insertHyperlinks="0" deleteColumns="0" deleteRows="0" sort="0" autoFilter="0" pivotTables="0"/>
  <mergeCells count="4">
    <mergeCell ref="B1:N1"/>
    <mergeCell ref="B2:N2"/>
    <mergeCell ref="B12:J12"/>
    <mergeCell ref="B14:J14"/>
  </mergeCells>
  <pageMargins left="0.7" right="0.7" top="0.75" bottom="0.75" header="0.3" footer="0.3"/>
  <pageSetup paperSize="9" scale="46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Bagus Sri Widodo</cp:lastModifiedBy>
  <cp:lastPrinted>2026-10-06T04:22:46Z</cp:lastPrinted>
  <dcterms:created xsi:type="dcterms:W3CDTF">2026-10-06T10:51:09Z</dcterms:created>
  <dcterms:modified xsi:type="dcterms:W3CDTF">2026-10-07T07:01:22Z</dcterms:modified>
</cp:coreProperties>
</file>