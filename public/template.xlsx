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1:T84"/>
  <sheetViews>
    <sheetView workbookViewId="0" rightToLeft="0"/>
  </sheetViews>
  <cols>
    <col min="1" max="1" customWidth="1" width="3"/>
    <col min="2" max="2" customWidth="1" width="3"/>
    <col min="3" max="3" customWidth="1" width="3"/>
    <col min="4" max="4" customWidth="1" width="3"/>
    <col min="5" max="5" customWidth="1" width="3"/>
    <col min="6" max="6" customWidth="1" width="3"/>
    <col min="7" max="7" customWidth="1" width="3"/>
    <col min="8" max="8" customWidth="1" width="3"/>
    <col min="9" max="9" customWidth="1" width="3"/>
    <col min="10" max="10" customWidth="1" width="70"/>
    <col min="11" max="11" customWidth="1" width="10"/>
    <col min="12" max="12" customWidth="1" width="10"/>
    <col min="13" max="13" customWidth="1" width="18.81640625"/>
    <col min="14" max="14" customWidth="1" width="22"/>
    <col min="17" max="17" customWidth="1" width="18.81640625"/>
    <col min="18" max="18" customWidth="1" width="16.81640625"/>
  </cols>
  <sheetData>
    <row r="1">
      <c r="B1" t="str">
        <v>RENCANA KEGIATAN DAN ANGGARAN TAHUNAN</v>
      </c>
    </row>
    <row r="2">
      <c r="B2" t="str">
        <v>TAHUN 2026</v>
      </c>
    </row>
    <row r="4" ht="14.5" customHeight="1">
      <c r="B4" t="str">
        <v>Unit Kerja</v>
      </c>
      <c r="G4" t="str">
        <v>:</v>
      </c>
      <c r="H4" t="str">
        <v>010802 - Direktorat Keuangan</v>
      </c>
    </row>
    <row r="5">
      <c r="B5" t="str">
        <v>Kode Kegiatan</v>
      </c>
      <c r="G5" t="str">
        <v>:</v>
      </c>
      <c r="H5" t="str">
        <v>3.1.3.1.2.8.2</v>
      </c>
    </row>
    <row r="6">
      <c r="B6" t="str">
        <v>Nama Kegiatan</v>
      </c>
      <c r="G6" t="str">
        <v>:</v>
      </c>
      <c r="H6" t="str">
        <v>-</v>
      </c>
    </row>
    <row r="7">
      <c r="B7" t="str">
        <v>Lingkup Kegiatan</v>
      </c>
      <c r="G7" t="str">
        <v>:</v>
      </c>
      <c r="H7" t="str">
        <v>-</v>
      </c>
    </row>
    <row r="8">
      <c r="B8" t="str">
        <v>Prioritas</v>
      </c>
      <c r="G8" t="str">
        <v>:</v>
      </c>
      <c r="H8" t="str">
        <v>Pertama, Kedua, Ketiga</v>
      </c>
    </row>
    <row r="9">
      <c r="B9" t="str">
        <v>Sumber Dana</v>
      </c>
      <c r="G9" t="str">
        <v>:</v>
      </c>
      <c r="H9" t="str">
        <v xml:space="preserve">Dana Masyarakat Tidak Mengikat </v>
      </c>
    </row>
    <row r="10">
      <c r="B10" t="str">
        <v>Status Detail Pengeluaran</v>
      </c>
      <c r="G10" t="str">
        <v>:</v>
      </c>
      <c r="H10" t="str">
        <v>Disetujui, Dalam Proses, Revisi, Ditolak</v>
      </c>
    </row>
    <row r="12">
      <c r="B12" t="str">
        <v>Fungsi/Sub Fungsi/Kegiatan/Belanja</v>
      </c>
      <c r="K12" t="str">
        <v>Volume</v>
      </c>
      <c r="L12" t="str">
        <v>Satuan</v>
      </c>
      <c r="M12" s="1" t="str">
        <v>Haraga Satuan</v>
      </c>
      <c r="N12" s="1" t="str">
        <v>Jumlah Biaya</v>
      </c>
      <c r="O12" t="str">
        <v>Volume</v>
      </c>
      <c r="P12" t="str">
        <v>Satuan</v>
      </c>
      <c r="Q12" s="1" t="str">
        <v>Haraga Satuan</v>
      </c>
      <c r="R12" s="1" t="str">
        <v>Jumlah Biaya</v>
      </c>
    </row>
    <row r="13"/>
    <row r="14">
      <c r="B14" t="str">
        <v>Jumlah Anggaran Pengeluaran</v>
      </c>
      <c r="N14" s="1">
        <f>N20</f>
        <v>693090846</v>
      </c>
      <c r="R14" s="1">
        <f>R20</f>
        <v>693090846</v>
      </c>
    </row>
    <row r="15"/>
    <row r="16">
      <c r="B16" t="str">
        <v>010802 - Direktorat Keuangan</v>
      </c>
    </row>
    <row r="17">
      <c r="C17" t="str">
        <v xml:space="preserve">Sumber Dana : Dana Masyarakat Tidak Mengikat </v>
      </c>
    </row>
    <row r="18">
      <c r="D18" t="str">
        <v>3.1.3.1.2 Penguatan kemitraan dalam pengembangan pengabdian kepada masyarakat</v>
      </c>
    </row>
    <row r="19">
      <c r="E19" t="str">
        <v>3.1.3.1.2.8 Jumlah kegiatan pengabdian kepada masyarakat  yang berkolaborasi dengan mitra (Pemerintah, BUMN, Swasta, Perguruan Tinggi, Kagama dan mitra lainnya)</v>
      </c>
    </row>
    <row r="20">
      <c r="F20" t="str">
        <v>3.1.3.1.2.8.2 Pelaksanaan kegiatan pengabdian masyarakat dengan mitra Pemerintah  Daerah, BUMN dan Swasta</v>
      </c>
      <c r="N20" s="1">
        <f>SUM(N24:N35)</f>
        <v>693090846</v>
      </c>
      <c r="R20" s="1">
        <f>SUM(R24:R35)</f>
        <v>693090846</v>
      </c>
    </row>
    <row r="21">
      <c r="F21" t="str">
        <v>Rincian</v>
      </c>
    </row>
    <row r="22">
      <c r="G22" t="str">
        <v>Lingkup Kegiatan : Kegiatan Tim Kerjasama</v>
      </c>
    </row>
    <row r="23">
      <c r="H23" t="str">
        <v>51201 Honorarium</v>
      </c>
    </row>
    <row r="24" xml:space="preserve">
      <c r="I24" t="str" xml:space="preserve">
        <v xml:space="preserve">Honorarium Penanggung jawab, pengarah, ketua, koordinator, anggota [1 Paket x 1 Kegiatan]_x000d_
 [1 paket]</v>
      </c>
      <c r="K24">
        <v>1</v>
      </c>
      <c r="L24" t="str">
        <v>paket</v>
      </c>
      <c r="M24" s="1">
        <v>543518200</v>
      </c>
      <c r="N24" s="1">
        <v>543518200</v>
      </c>
      <c r="O24">
        <v>1</v>
      </c>
      <c r="P24" t="str">
        <v>paket</v>
      </c>
      <c r="Q24" s="1">
        <v>543518200</v>
      </c>
      <c r="R24" s="1">
        <v>543518200</v>
      </c>
    </row>
    <row r="25">
      <c r="H25" t="str">
        <v>54101 Biaya Perjalanan Dalam Negeri</v>
      </c>
    </row>
    <row r="26">
      <c r="I26" t="str">
        <v>Biaya Perjalanan Dalam Negeri [1 paket]</v>
      </c>
      <c r="K26">
        <v>1</v>
      </c>
      <c r="L26" t="str">
        <v>paket</v>
      </c>
      <c r="M26" s="1">
        <v>135191000</v>
      </c>
      <c r="N26" s="1">
        <v>135191000</v>
      </c>
      <c r="O26">
        <v>1</v>
      </c>
      <c r="P26" t="str">
        <v>paket</v>
      </c>
      <c r="Q26" s="1">
        <v>135191000</v>
      </c>
      <c r="R26" s="1">
        <v>135191000</v>
      </c>
    </row>
    <row r="27">
      <c r="H27" t="str">
        <v>52810 Ekspedisi dan Pos</v>
      </c>
    </row>
    <row r="28">
      <c r="I28" t="str">
        <v>Ekspedisi dan Pos [1 paket]</v>
      </c>
      <c r="K28">
        <v>1</v>
      </c>
      <c r="L28" t="str">
        <v>paket</v>
      </c>
      <c r="M28" s="1">
        <v>331646</v>
      </c>
      <c r="N28" s="1">
        <v>331646</v>
      </c>
      <c r="O28">
        <v>1</v>
      </c>
      <c r="P28" t="str">
        <v>paket</v>
      </c>
      <c r="Q28" s="1">
        <v>331646</v>
      </c>
      <c r="R28" s="1">
        <v>331646</v>
      </c>
    </row>
    <row r="29">
      <c r="H29" t="str">
        <v>56101 Pengeluaran transfer rekening antar unit</v>
      </c>
    </row>
    <row r="30">
      <c r="I30" t="str">
        <v>Pengeluaran Transfer Rekening Antar Unit [1 paket]</v>
      </c>
      <c r="K30">
        <v>1</v>
      </c>
      <c r="L30" t="str">
        <v>paket</v>
      </c>
      <c r="M30" s="1">
        <v>1100000</v>
      </c>
      <c r="N30" s="1">
        <v>1100000</v>
      </c>
      <c r="O30">
        <v>1</v>
      </c>
      <c r="P30" t="str">
        <v>paket</v>
      </c>
      <c r="Q30" s="1">
        <v>0</v>
      </c>
      <c r="R30" s="1">
        <v>0</v>
      </c>
    </row>
    <row r="31">
      <c r="H31" t="str">
        <v>52809 Cetak dan Penggandaan Dokumen</v>
      </c>
    </row>
    <row r="32">
      <c r="I32" t="str">
        <v>Cetak dan Penggandaan Dokumen</v>
      </c>
      <c r="K32">
        <v>1</v>
      </c>
      <c r="L32" t="str">
        <v>paket</v>
      </c>
      <c r="M32" s="1">
        <v>0</v>
      </c>
      <c r="N32" s="1">
        <v>0</v>
      </c>
      <c r="O32">
        <v>1</v>
      </c>
      <c r="P32" t="str">
        <v>paket</v>
      </c>
      <c r="Q32" s="1">
        <v>1150000</v>
      </c>
      <c r="R32" s="1">
        <v>1150000</v>
      </c>
    </row>
    <row r="33">
      <c r="H33" t="str">
        <v>52199 Bahan Habis Pakai Lainnya</v>
      </c>
    </row>
    <row r="34">
      <c r="I34" t="str">
        <v>Bahan Habis Pakai Lainnya [1 paket]</v>
      </c>
      <c r="K34">
        <v>1</v>
      </c>
      <c r="L34" t="str">
        <v>paket</v>
      </c>
      <c r="M34" s="1">
        <v>12950000</v>
      </c>
      <c r="N34" s="1">
        <v>12950000</v>
      </c>
      <c r="O34">
        <v>1</v>
      </c>
      <c r="P34" t="str">
        <v>paket</v>
      </c>
      <c r="Q34" s="1">
        <v>12900000</v>
      </c>
      <c r="R34" s="1">
        <v>12900000</v>
      </c>
    </row>
    <row r="35">
      <c r="D35" t="str">
        <v>1.2.2.3.2 Penguatan kemampuan manajerial dan entrepreneur</v>
      </c>
    </row>
    <row r="36">
      <c r="E36" t="str">
        <v>1.2.2.3.2.4 Jumlah kegiatan wirausaha yang melibatkan mitra dari luar UGM yang diikuti mahasiswa</v>
      </c>
    </row>
    <row r="37">
      <c r="F37" t="str">
        <v>1.2.2.3.2.4.1 Penyusunan proposal</v>
      </c>
      <c r="N37" s="1">
        <v>523628177</v>
      </c>
      <c r="R37" s="1">
        <f>SUM(R38:R78)</f>
        <v>505778177</v>
      </c>
    </row>
    <row r="38">
      <c r="F38" t="str">
        <v>Rincian</v>
      </c>
    </row>
    <row r="39">
      <c r="G39" t="str">
        <v>Lingkup Kegiatan : Pengembangan Jiwa Kewirausahaan</v>
      </c>
    </row>
    <row r="40">
      <c r="H40" t="str">
        <v>51201 Honorarium</v>
      </c>
    </row>
    <row r="41" xml:space="preserve">
      <c r="I41" t="str" xml:space="preserve">
        <v xml:space="preserve">Honorarium Narasumber/Reviewer/Fasilitator_x000d_
 [133 orang x 1 jam]</v>
      </c>
      <c r="K41">
        <v>133</v>
      </c>
      <c r="L41" t="str">
        <v>O/J</v>
      </c>
      <c r="M41" s="1">
        <v>700000</v>
      </c>
      <c r="N41" s="1">
        <v>93100000</v>
      </c>
      <c r="O41">
        <v>100</v>
      </c>
      <c r="P41" t="str">
        <v>O/J</v>
      </c>
      <c r="Q41">
        <v>878500</v>
      </c>
      <c r="R41">
        <v>87850000</v>
      </c>
    </row>
    <row r="42">
      <c r="H42" t="str">
        <v>52101 Bahan Habis Pakai Perkantoran</v>
      </c>
    </row>
    <row r="43">
      <c r="I43" t="str">
        <v>Bahan Habis Pakai Perkantoran [1 paket]</v>
      </c>
      <c r="K43">
        <v>1</v>
      </c>
      <c r="L43" t="str">
        <v>paket</v>
      </c>
      <c r="M43" s="1">
        <v>4070277</v>
      </c>
      <c r="N43" s="1">
        <v>4070277</v>
      </c>
      <c r="O43">
        <v>1</v>
      </c>
      <c r="P43" t="str">
        <v>paket</v>
      </c>
      <c r="Q43" s="1">
        <v>4070277</v>
      </c>
      <c r="R43" s="1">
        <v>4070277</v>
      </c>
    </row>
    <row r="44">
      <c r="H44" t="str">
        <v>52199 Bahan Habis Pakai Lainnya</v>
      </c>
    </row>
    <row r="45">
      <c r="I45" t="str">
        <v>Perlengkapan pendukung pelatihan  [12 paket]</v>
      </c>
      <c r="K45">
        <v>12</v>
      </c>
      <c r="L45" t="str">
        <v>paket</v>
      </c>
      <c r="M45" s="1">
        <v>1000000</v>
      </c>
      <c r="N45" s="1">
        <v>12000000</v>
      </c>
      <c r="O45">
        <v>12</v>
      </c>
      <c r="P45" t="str">
        <v>paket</v>
      </c>
      <c r="Q45" s="1">
        <v>1000000</v>
      </c>
      <c r="R45" s="1">
        <v>12000000</v>
      </c>
    </row>
    <row r="46">
      <c r="H46" t="str">
        <v>52302 Sewa Bangunan dan Ruangan</v>
      </c>
    </row>
    <row r="47">
      <c r="I47" t="str">
        <v>Sewa tempat pelatihan [5 unit]</v>
      </c>
      <c r="K47">
        <v>5</v>
      </c>
      <c r="L47" t="str">
        <v>unit</v>
      </c>
      <c r="M47" s="1">
        <v>0</v>
      </c>
      <c r="N47" s="1">
        <v>0</v>
      </c>
      <c r="O47">
        <v>5</v>
      </c>
      <c r="P47" t="str">
        <v>unit</v>
      </c>
      <c r="Q47" s="1">
        <v>0</v>
      </c>
      <c r="R47" s="1">
        <v>0</v>
      </c>
    </row>
    <row r="48">
      <c r="H48" t="str">
        <v>52304 Sewa Peralatan dan mesin</v>
      </c>
    </row>
    <row r="49">
      <c r="I49" t="str">
        <v>Sewa Peralatan Pendukung [1 paket]</v>
      </c>
      <c r="K49">
        <v>1</v>
      </c>
      <c r="L49" t="str">
        <v>paket</v>
      </c>
      <c r="M49" s="1">
        <v>13909900</v>
      </c>
      <c r="N49" s="1">
        <v>13909900</v>
      </c>
      <c r="O49">
        <v>1</v>
      </c>
      <c r="P49" t="str">
        <v>paket</v>
      </c>
      <c r="Q49" s="1">
        <v>13909900</v>
      </c>
      <c r="R49" s="1">
        <v>13909900</v>
      </c>
    </row>
    <row r="50">
      <c r="H50" t="str">
        <v>52303 Sewa Kendaraan dan Alat Angkutan</v>
      </c>
    </row>
    <row r="51">
      <c r="I51" t="str">
        <v>Sewa Kendaraan dan Alat Angkutan [12 unit]</v>
      </c>
      <c r="K51">
        <v>12</v>
      </c>
      <c r="L51" t="str">
        <v>unit</v>
      </c>
      <c r="M51" s="1">
        <v>1000000</v>
      </c>
      <c r="N51" s="1">
        <v>12000000</v>
      </c>
      <c r="O51">
        <v>12</v>
      </c>
      <c r="P51" t="str">
        <v>unit</v>
      </c>
      <c r="Q51" s="1">
        <v>1000000</v>
      </c>
      <c r="R51" s="1">
        <v>12000000</v>
      </c>
    </row>
    <row r="52">
      <c r="H52" t="str">
        <v>52501 Beasiswa, Bantuan Tridharma Mahasiswa</v>
      </c>
    </row>
    <row r="53">
      <c r="I53" t="str">
        <v>Beasiswa, Pemberian Bantuan Tridharma Mahasiswa [20 kel]</v>
      </c>
      <c r="K53">
        <v>20</v>
      </c>
      <c r="L53" t="str">
        <v>kel</v>
      </c>
      <c r="M53" s="1">
        <v>6800000</v>
      </c>
      <c r="N53" s="1">
        <v>136000000</v>
      </c>
      <c r="O53">
        <v>20</v>
      </c>
      <c r="P53" t="str">
        <v>kel</v>
      </c>
      <c r="Q53" s="1">
        <v>6800000</v>
      </c>
      <c r="R53" s="1">
        <v>136000000</v>
      </c>
    </row>
    <row r="54">
      <c r="H54" t="str">
        <v>52809 Cetak dan Penggandaan Dokumen</v>
      </c>
    </row>
    <row r="55">
      <c r="I55" t="str">
        <v>Cetak dan Penggandaan Dokumen [15 paket]</v>
      </c>
      <c r="K55">
        <v>15</v>
      </c>
      <c r="L55" t="str">
        <v>paket</v>
      </c>
      <c r="M55" s="1">
        <v>1500000</v>
      </c>
      <c r="N55" s="1">
        <v>22500000</v>
      </c>
      <c r="O55">
        <v>15</v>
      </c>
      <c r="P55" t="str">
        <v>paket</v>
      </c>
      <c r="Q55" s="1">
        <v>1500000</v>
      </c>
      <c r="R55" s="1">
        <v>22500000</v>
      </c>
    </row>
    <row r="56">
      <c r="H56" t="str">
        <v>54101 Biaya Perjalanan Dalam Negeri</v>
      </c>
    </row>
    <row r="57">
      <c r="I57" t="str">
        <v>Biaya Tiket perjalanan dinas pendampingan [22 orang x 2 keg]</v>
      </c>
      <c r="K57">
        <v>44</v>
      </c>
      <c r="L57" t="str">
        <v>O/K</v>
      </c>
      <c r="M57" s="1">
        <v>430000</v>
      </c>
      <c r="N57" s="1">
        <v>18920000</v>
      </c>
      <c r="O57">
        <v>44</v>
      </c>
      <c r="P57" t="str">
        <v>O/K</v>
      </c>
      <c r="Q57" s="1">
        <v>430000</v>
      </c>
      <c r="R57" s="1">
        <v>18920000</v>
      </c>
    </row>
    <row r="58">
      <c r="I58" t="str">
        <v>Biaya Penginapan [22 orang x 2 hari]</v>
      </c>
      <c r="K58">
        <v>44</v>
      </c>
      <c r="L58" t="str">
        <v>O/H</v>
      </c>
      <c r="M58" s="1">
        <v>500000</v>
      </c>
      <c r="N58" s="1">
        <v>22000000</v>
      </c>
      <c r="O58">
        <v>44</v>
      </c>
      <c r="P58" t="str">
        <v>O/H</v>
      </c>
      <c r="Q58" s="1">
        <v>500000</v>
      </c>
      <c r="R58" s="1">
        <v>22000000</v>
      </c>
    </row>
    <row r="59">
      <c r="I59" t="str">
        <v>Uang Transport [11 orang x 2 keg]</v>
      </c>
      <c r="K59">
        <v>22</v>
      </c>
      <c r="L59" t="str">
        <v>O/K</v>
      </c>
      <c r="M59" s="1">
        <v>430000</v>
      </c>
      <c r="N59" s="1">
        <v>9460000</v>
      </c>
      <c r="O59">
        <v>22</v>
      </c>
      <c r="P59" t="str">
        <v>O/K</v>
      </c>
      <c r="Q59" s="1">
        <v>430000</v>
      </c>
      <c r="R59" s="1">
        <v>9460000</v>
      </c>
    </row>
    <row r="60">
      <c r="I60" t="str">
        <v>Uang Harian [19 orang x 3 hari]</v>
      </c>
      <c r="K60">
        <v>57</v>
      </c>
      <c r="L60" t="str">
        <v>O/H</v>
      </c>
      <c r="M60" s="1">
        <v>424000</v>
      </c>
      <c r="N60" s="1">
        <v>24168000</v>
      </c>
      <c r="O60">
        <v>57</v>
      </c>
      <c r="P60" t="str">
        <v>O/H</v>
      </c>
      <c r="Q60" s="1">
        <v>424000</v>
      </c>
      <c r="R60" s="1">
        <v>24168000</v>
      </c>
    </row>
    <row r="61">
      <c r="H61" t="str">
        <v>51201 Honorarium</v>
      </c>
    </row>
    <row r="62">
      <c r="I62" t="str">
        <v>Honorarium Kepanitiaan mahasiswa [10 orang x 7 keg]</v>
      </c>
      <c r="K62">
        <v>70</v>
      </c>
      <c r="L62" t="str">
        <v>O/K</v>
      </c>
      <c r="M62" s="1">
        <v>175000</v>
      </c>
      <c r="N62" s="1">
        <v>12250000</v>
      </c>
      <c r="O62">
        <v>100</v>
      </c>
      <c r="P62" t="str">
        <v>O/K</v>
      </c>
      <c r="Q62" s="1">
        <v>175000</v>
      </c>
      <c r="R62" s="1">
        <v>17500000</v>
      </c>
    </row>
    <row r="63">
      <c r="H63" t="str">
        <v>52104 Bahan Habis Pakai Konsumsi</v>
      </c>
    </row>
    <row r="64">
      <c r="I64" t="str">
        <v>Bahan Habis Pakai Konsumsi [2800 Paket]</v>
      </c>
      <c r="K64">
        <v>2800</v>
      </c>
      <c r="L64" t="str">
        <v>Paket</v>
      </c>
      <c r="M64" s="1">
        <v>22000</v>
      </c>
      <c r="N64" s="1">
        <v>61600000</v>
      </c>
      <c r="O64">
        <v>2800</v>
      </c>
      <c r="P64" t="str">
        <v>Paket</v>
      </c>
      <c r="Q64" s="1">
        <v>22000</v>
      </c>
      <c r="R64" s="1">
        <v>61600000</v>
      </c>
    </row>
    <row r="65">
      <c r="H65" t="str">
        <v>56101 Pengeluaran transfer rekening antar unit</v>
      </c>
    </row>
    <row r="66">
      <c r="I66" t="str">
        <v>Pengeluaran Transfer Rekening Antar Unit [1 keg]</v>
      </c>
      <c r="K66">
        <v>1</v>
      </c>
      <c r="L66" t="str">
        <v>keg</v>
      </c>
      <c r="M66" s="1">
        <v>150000</v>
      </c>
      <c r="N66" s="1">
        <v>150000</v>
      </c>
      <c r="O66">
        <v>1</v>
      </c>
      <c r="P66" t="str">
        <v>keg</v>
      </c>
      <c r="Q66" s="1">
        <v>150000</v>
      </c>
      <c r="R66" s="1">
        <v>150000</v>
      </c>
    </row>
    <row r="67">
      <c r="H67" t="str">
        <v xml:space="preserve">52804 Penghargaan dan Pemberian Anugerah </v>
      </c>
    </row>
    <row r="68">
      <c r="I68" t="str">
        <v>Penghargaan [1 Kegiatan]</v>
      </c>
      <c r="K68">
        <v>1</v>
      </c>
      <c r="L68" t="str">
        <v>Kegiatan</v>
      </c>
      <c r="M68" s="1">
        <v>3000000</v>
      </c>
      <c r="N68" s="1">
        <v>3000000</v>
      </c>
      <c r="O68">
        <v>1</v>
      </c>
      <c r="P68" t="str">
        <v>Kegiatan</v>
      </c>
      <c r="Q68" s="1">
        <v>3000000</v>
      </c>
      <c r="R68" s="1">
        <v>3000000</v>
      </c>
    </row>
    <row r="69">
      <c r="H69" t="str">
        <v>52199 Bahan Habis Pakai Lainnya</v>
      </c>
    </row>
    <row r="70">
      <c r="I70" t="str">
        <v>Pembelian barang habis pakai [22 keg]</v>
      </c>
      <c r="K70">
        <v>22</v>
      </c>
      <c r="L70" t="str">
        <v>keg</v>
      </c>
      <c r="M70" s="1">
        <v>250000</v>
      </c>
      <c r="N70" s="1">
        <v>5500000</v>
      </c>
      <c r="O70">
        <v>22</v>
      </c>
      <c r="P70" t="str">
        <v>keg</v>
      </c>
      <c r="Q70" s="1">
        <v>250000</v>
      </c>
      <c r="R70" s="1">
        <v>5500000</v>
      </c>
    </row>
    <row r="71">
      <c r="H71" t="str">
        <v>52399 Biaya Sewa Lainnya</v>
      </c>
    </row>
    <row r="72">
      <c r="I72" t="str">
        <v>Sewa baju [30 paket]</v>
      </c>
      <c r="K72">
        <v>30</v>
      </c>
      <c r="L72" t="str">
        <v>paket</v>
      </c>
      <c r="M72" s="1">
        <v>300000</v>
      </c>
      <c r="N72" s="1">
        <v>9000000</v>
      </c>
      <c r="O72">
        <v>30</v>
      </c>
      <c r="P72" t="str">
        <v>paket</v>
      </c>
      <c r="Q72" s="1">
        <v>300000</v>
      </c>
      <c r="R72" s="1">
        <v>9000000</v>
      </c>
    </row>
    <row r="73">
      <c r="H73" t="str">
        <v>52805 Pemakaian Jasa Profesional</v>
      </c>
    </row>
    <row r="74">
      <c r="I74" t="str">
        <v>Pembuatan Booth [4 orang x 1 bulan]</v>
      </c>
      <c r="K74">
        <v>4</v>
      </c>
      <c r="L74" t="str">
        <v>Orang/Bulan</v>
      </c>
      <c r="M74" s="1">
        <v>8000000</v>
      </c>
      <c r="N74" s="1">
        <v>32000000</v>
      </c>
      <c r="O74">
        <v>4</v>
      </c>
      <c r="P74" t="str">
        <v>Orang/Bulan</v>
      </c>
      <c r="Q74" s="1">
        <v>8000000</v>
      </c>
      <c r="R74" s="1">
        <v>32000000</v>
      </c>
    </row>
    <row r="75">
      <c r="H75" t="str">
        <v>52103 Bahan Habis Pakai Kerumahtanggaan</v>
      </c>
    </row>
    <row r="76">
      <c r="I76" t="str">
        <v>Pembelian obat [2 paket]</v>
      </c>
      <c r="K76">
        <v>2</v>
      </c>
      <c r="L76" t="str">
        <v>paket</v>
      </c>
      <c r="M76" s="1">
        <v>2000000</v>
      </c>
      <c r="N76" s="1">
        <v>4000000</v>
      </c>
      <c r="O76">
        <v>2</v>
      </c>
      <c r="P76" t="str">
        <v>paket</v>
      </c>
      <c r="Q76" s="1">
        <v>2000000</v>
      </c>
      <c r="R76" s="1">
        <v>4000000</v>
      </c>
    </row>
    <row r="77">
      <c r="H77" t="str">
        <v>55105 Biaya Modal Peralatan dan Mesin</v>
      </c>
    </row>
    <row r="78">
      <c r="I78" t="str">
        <v>Biaya Modal Peralatan dan Mesin  [4 paket]</v>
      </c>
      <c r="K78">
        <v>4</v>
      </c>
      <c r="L78" t="str">
        <v>paket</v>
      </c>
      <c r="M78" s="1">
        <v>7000000</v>
      </c>
      <c r="N78" s="1">
        <v>28000000</v>
      </c>
      <c r="O78">
        <v>4</v>
      </c>
      <c r="P78" t="str">
        <v>paket</v>
      </c>
      <c r="Q78" s="1">
        <v>7000000</v>
      </c>
      <c r="R78" s="1">
        <v>28000000</v>
      </c>
    </row>
    <row r="79"/>
    <row r="80"/>
    <row r="81"/>
    <row r="82"/>
    <row r="83"/>
    <row r="84"/>
  </sheetData>
  <mergeCells count="4">
    <mergeCell ref="B1:N1"/>
    <mergeCell ref="B2:N2"/>
    <mergeCell ref="B12:J12"/>
    <mergeCell ref="B14:J14"/>
  </mergeCells>
  <pageMargins left="0.7" right="0.7" top="0.75" bottom="0.75" header="0.3" footer="0.3"/>
  <ignoredErrors>
    <ignoredError numberStoredAsText="1" sqref="B1:T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2026-10-06T10:51:09Z</dcterms:created>
  <dcterms:modified xsi:type="dcterms:W3CDTF">2026-10-07T07:01:22Z</dcterms:modified>
  <cp:lastModifiedBy>Bagus Sri Widodo</cp:lastModifiedBy>
  <cp:lastPrinted>2026-10-06T04:22:46Z</cp:lastPrinted>
  <dc:creator>Unknown Creator</dc:creator>
  <dc:title>Untitled Spreadsheet</dc:title>
</cp:coreProperties>
</file>